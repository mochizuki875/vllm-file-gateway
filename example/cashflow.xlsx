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ef37d87c3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Cash Flow" sheetId="1" r:id="R67ff7bba85214de7"/>
    <x:sheet xmlns:r="http://schemas.openxmlformats.org/officeDocument/2006/relationships" name="Annual Summary" sheetId="2" r:id="Rf2d9d1b41d224016"/>
    <x:sheet xmlns:r="http://schemas.openxmlformats.org/officeDocument/2006/relationships" name="Balance Sheet &amp; Goals" sheetId="3" r:id="R4f5cc392740a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[Red]($#,##0);-"/>
    <x:numFmt numFmtId="201" formatCode="0.0%;[Red](0.0%);-"/>
    <x:numFmt numFmtId="202" formatCode="0.0x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3" fillId="4" borderId="0" xfId="0" applyNumberFormat="1" applyFont="1" applyFill="1" applyBorder="1" applyAlignment="1">
      <x:alignment horizontal="left"/>
    </x:xf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left"/>
    </x:xf>
    <x:xf numFmtId="200" fontId="4" fillId="0" borderId="1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wrapText="1"/>
    </x:xf>
    <x:xf numFmtId="200" fontId="3" fillId="4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wrapText="1"/>
    </x:xf>
    <x:xf numFmtId="200" fontId="3" fillId="4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23b64f88b4bd5" /><Relationship Type="http://schemas.openxmlformats.org/officeDocument/2006/relationships/theme" Target="/xl/theme/theme1.xml" Id="Re67aa836163c4fda" /><Relationship Type="http://schemas.openxmlformats.org/officeDocument/2006/relationships/sharedStrings" Target="/xl/sharedStrings.xml" Id="R89935072f4344cac" /><Relationship Type="http://schemas.openxmlformats.org/officeDocument/2006/relationships/worksheet" Target="/xl/worksheets/sheet1.xml" Id="R67ff7bba85214de7" /><Relationship Type="http://schemas.openxmlformats.org/officeDocument/2006/relationships/worksheet" Target="/xl/worksheets/sheet2.xml" Id="Rf2d9d1b41d224016" /><Relationship Type="http://schemas.openxmlformats.org/officeDocument/2006/relationships/worksheet" Target="/xl/worksheets/sheet3.xml" Id="R4f5cc392740a4b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2a8a184aa743e0" /><Relationship Type="http://schemas.openxmlformats.org/officeDocument/2006/relationships/chart" Target="/xl/drawings/charts/chart2.xml" Id="Rf105a5d03b3f4a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fe6a8cad45f48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Spending &amp; Savings by Category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'Annual Summary'!$A$16:$A$23</c:f>
              <c:strCache>
                <c:ptCount val="0"/>
              </c:strCache>
            </c:strRef>
          </c:cat>
          <c:val>
            <c:numRef>
              <c:f>'Annual Summary'!$B$16:$B$23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Cash Flow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Flow'!$C$43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Flow'!$D$43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Flow'!$E$43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Flow'!$F$43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Flow'!$G$43</c:f>
              <c:numCache>
                <c:formatCode>$#,##0;[Red]($#,##0);-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Flow'!$H$43</c:f>
              <c:numCache>
                <c:formatCode>$#,##0;[Red]($#,##0);-</c:formatCode>
                <c:ptCount val="0"/>
              </c:numCache>
            </c:numRef>
          </c:val>
        </c:ser>
        <c:ser>
          <c:idx val="6"/>
          <c:order val="6"/>
          <c:tx>
            <c:v>Series 7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Flow'!$I$43</c:f>
              <c:numCache>
                <c:formatCode>$#,##0;[Red]($#,##0);-</c:formatCode>
                <c:ptCount val="0"/>
              </c:numCache>
            </c:numRef>
          </c:val>
        </c:ser>
        <c:ser>
          <c:idx val="7"/>
          <c:order val="7"/>
          <c:tx>
            <c:v>Series 8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Flow'!$J$43</c:f>
              <c:numCache>
                <c:formatCode>$#,##0;[Red]($#,##0);-</c:formatCode>
                <c:ptCount val="0"/>
              </c:numCache>
            </c:numRef>
          </c:val>
        </c:ser>
        <c:ser>
          <c:idx val="8"/>
          <c:order val="8"/>
          <c:tx>
            <c:v>Series 9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Flow'!$K$43</c:f>
              <c:numCache>
                <c:formatCode>$#,##0;[Red]($#,##0);-</c:formatCode>
                <c:ptCount val="0"/>
              </c:numCache>
            </c:numRef>
          </c:val>
        </c:ser>
        <c:ser>
          <c:idx val="9"/>
          <c:order val="9"/>
          <c:tx>
            <c:v>Series 10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Flow'!$L$43</c:f>
              <c:numCache>
                <c:formatCode>$#,##0;[Red]($#,##0);-</c:formatCode>
                <c:ptCount val="0"/>
              </c:numCache>
            </c:numRef>
          </c:val>
        </c:ser>
        <c:ser>
          <c:idx val="10"/>
          <c:order val="10"/>
          <c:tx>
            <c:v>Series 11</c:v>
          </c:tx>
          <c:marker>
            <c:symbol val="none"/>
          </c:marker>
          <c:cat>
            <c:strRef>
              <c:f>'Monthly Cash Flow'!$B$43</c:f>
              <c:strCache>
                <c:ptCount val="0"/>
              </c:strCache>
            </c:strRef>
          </c:cat>
          <c:val>
            <c:numRef>
              <c:f>'Monthly Cash Flow'!$M$43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Projected Net Worth vs. Goal</a:t>
            </a:r>
          </a:p>
        </c:rich>
      </c:tx>
    </c:title>
    <c:plotArea>
      <c:lineChart>
        <c:grouping val="standard"/>
        <c:ser>
          <c:idx val="0"/>
          <c:order val="0"/>
          <c:tx>
            <c:v>Cash</c:v>
          </c:tx>
          <c:marker>
            <c:symbol val="none"/>
          </c:marker>
          <c:cat>
            <c:strRef>
              <c:f>'Balance Sheet &amp; Goals'!$F$4:$F$15</c:f>
              <c:strCache>
                <c:ptCount val="0"/>
              </c:strCache>
            </c:strRef>
          </c:cat>
          <c:val>
            <c:numRef>
              <c:f>'Balance Sheet &amp; Goals'!$G$4:$G$15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Retirement</c:v>
          </c:tx>
          <c:marker>
            <c:symbol val="none"/>
          </c:marker>
          <c:cat>
            <c:strRef>
              <c:f>'Balance Sheet &amp; Goals'!$F$4:$F$15</c:f>
              <c:strCache>
                <c:ptCount val="0"/>
              </c:strCache>
            </c:strRef>
          </c:cat>
          <c:val>
            <c:numRef>
              <c:f>'Balance Sheet &amp; Goals'!$H$4:$H$15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Education</c:v>
          </c:tx>
          <c:marker>
            <c:symbol val="none"/>
          </c:marker>
          <c:cat>
            <c:strRef>
              <c:f>'Balance Sheet &amp; Goals'!$F$4:$F$15</c:f>
              <c:strCache>
                <c:ptCount val="0"/>
              </c:strCache>
            </c:strRef>
          </c:cat>
          <c:val>
            <c:numRef>
              <c:f>'Balance Sheet &amp; Goals'!$I$4:$I$15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Mortgage Debt</c:v>
          </c:tx>
          <c:marker>
            <c:symbol val="none"/>
          </c:marker>
          <c:cat>
            <c:strRef>
              <c:f>'Balance Sheet &amp; Goals'!$F$4:$F$15</c:f>
              <c:strCache>
                <c:ptCount val="0"/>
              </c:strCache>
            </c:strRef>
          </c:cat>
          <c:val>
            <c:numRef>
              <c:f>'Balance Sheet &amp; Goals'!$J$4:$J$15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Car Debt</c:v>
          </c:tx>
          <c:marker>
            <c:symbol val="none"/>
          </c:marker>
          <c:cat>
            <c:strRef>
              <c:f>'Balance Sheet &amp; Goals'!$F$4:$F$15</c:f>
              <c:strCache>
                <c:ptCount val="0"/>
              </c:strCache>
            </c:strRef>
          </c:cat>
          <c:val>
            <c:numRef>
              <c:f>'Balance Sheet &amp; Goals'!$K$4:$K$15</c:f>
              <c:numCache>
                <c:formatCode>$#,##0;[Red]($#,##0);-</c:formatCode>
                <c:ptCount val="0"/>
              </c:numCache>
            </c:numRef>
          </c:val>
        </c:ser>
        <c:ser>
          <c:idx val="5"/>
          <c:order val="5"/>
          <c:tx>
            <c:v>Net Worth</c:v>
          </c:tx>
          <c:marker>
            <c:symbol val="none"/>
          </c:marker>
          <c:cat>
            <c:strRef>
              <c:f>'Balance Sheet &amp; Goals'!$F$4:$F$15</c:f>
              <c:strCache>
                <c:ptCount val="0"/>
              </c:strCache>
            </c:strRef>
          </c:cat>
          <c:val>
            <c:numRef>
              <c:f>'Balance Sheet &amp; Goals'!$L$4:$L$15</c:f>
              <c:numCache>
                <c:formatCode>$#,##0;[Red]($#,##0);-</c:formatCode>
                <c:ptCount val="0"/>
              </c:numCache>
            </c:numRef>
          </c:val>
        </c:ser>
        <c:ser>
          <c:idx val="6"/>
          <c:order val="6"/>
          <c:tx>
            <c:v>Goal</c:v>
          </c:tx>
          <c:marker>
            <c:symbol val="none"/>
          </c:marker>
          <c:cat>
            <c:strRef>
              <c:f>'Balance Sheet &amp; Goals'!$F$4:$F$15</c:f>
              <c:strCache>
                <c:ptCount val="0"/>
              </c:strCache>
            </c:strRef>
          </c:cat>
          <c:val>
            <c:numRef>
              <c:f>'Balance Sheet &amp; Goals'!$M$4:$M$15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2a8a184aa743e0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05a5d03b3f4a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e6a8cad45f489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c161a2d114a42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bf2bc5af286473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6" t="str">
        <x:v>Fictional Household Monthly Cash Flow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</x:row>
    <x:row r="2">
      <x:c r="A2" s="37" t="str">
        <x:v>Category</x:v>
      </x:c>
      <x:c r="B2" s="37" t="str">
        <x:v>Jan</x:v>
      </x:c>
      <x:c r="C2" s="37" t="str">
        <x:v>Feb</x:v>
      </x:c>
      <x:c r="D2" s="37" t="str">
        <x:v>Mar</x:v>
      </x:c>
      <x:c r="E2" s="37" t="str">
        <x:v>Apr</x:v>
      </x:c>
      <x:c r="F2" s="37" t="str">
        <x:v>May</x:v>
      </x:c>
      <x:c r="G2" s="37" t="str">
        <x:v>Jun</x:v>
      </x:c>
      <x:c r="H2" s="37" t="str">
        <x:v>Jul</x:v>
      </x:c>
      <x:c r="I2" s="37" t="str">
        <x:v>Aug</x:v>
      </x:c>
      <x:c r="J2" s="37" t="str">
        <x:v>Sep</x:v>
      </x:c>
      <x:c r="K2" s="37" t="str">
        <x:v>Oct</x:v>
      </x:c>
      <x:c r="L2" s="37" t="str">
        <x:v>Nov</x:v>
      </x:c>
      <x:c r="M2" s="37" t="str">
        <x:v>Dec</x:v>
      </x:c>
      <x:c r="N2" s="37" t="str">
        <x:v>Annual Total</x:v>
      </x:c>
    </x:row>
    <x:row r="3">
      <x:c r="A3" s="38" t="str">
        <x:v>INCOME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>
      <x:c r="A4" s="40" t="str">
        <x:v>Primary Salary</x:v>
      </x:c>
      <x:c r="B4" s="41" t="n">
        <x:v>5200</x:v>
      </x:c>
      <x:c r="C4" s="41" t="n">
        <x:v>5200</x:v>
      </x:c>
      <x:c r="D4" s="41" t="n">
        <x:v>5200</x:v>
      </x:c>
      <x:c r="E4" s="41" t="n">
        <x:v>5200</x:v>
      </x:c>
      <x:c r="F4" s="41" t="n">
        <x:v>5200</x:v>
      </x:c>
      <x:c r="G4" s="41" t="n">
        <x:v>5200</x:v>
      </x:c>
      <x:c r="H4" s="41" t="n">
        <x:v>5200</x:v>
      </x:c>
      <x:c r="I4" s="41" t="n">
        <x:v>5200</x:v>
      </x:c>
      <x:c r="J4" s="41" t="n">
        <x:v>5200</x:v>
      </x:c>
      <x:c r="K4" s="41" t="n">
        <x:v>5200</x:v>
      </x:c>
      <x:c r="L4" s="41" t="n">
        <x:v>5200</x:v>
      </x:c>
      <x:c r="M4" s="41" t="n">
        <x:v>5200</x:v>
      </x:c>
      <x:c r="N4" s="42" t="n">
        <x:f>SUM(B4:M4)</x:f>
        <x:v>62400</x:v>
      </x:c>
    </x:row>
    <x:row r="5">
      <x:c r="A5" s="40" t="str">
        <x:v>Spouse Salary</x:v>
      </x:c>
      <x:c r="B5" s="41" t="n">
        <x:v>3100</x:v>
      </x:c>
      <x:c r="C5" s="41" t="n">
        <x:v>3100</x:v>
      </x:c>
      <x:c r="D5" s="41" t="n">
        <x:v>3100</x:v>
      </x:c>
      <x:c r="E5" s="41" t="n">
        <x:v>3100</x:v>
      </x:c>
      <x:c r="F5" s="41" t="n">
        <x:v>3100</x:v>
      </x:c>
      <x:c r="G5" s="41" t="n">
        <x:v>3100</x:v>
      </x:c>
      <x:c r="H5" s="41" t="n">
        <x:v>3100</x:v>
      </x:c>
      <x:c r="I5" s="41" t="n">
        <x:v>3100</x:v>
      </x:c>
      <x:c r="J5" s="41" t="n">
        <x:v>3100</x:v>
      </x:c>
      <x:c r="K5" s="41" t="n">
        <x:v>3100</x:v>
      </x:c>
      <x:c r="L5" s="41" t="n">
        <x:v>3100</x:v>
      </x:c>
      <x:c r="M5" s="41" t="n">
        <x:v>3100</x:v>
      </x:c>
      <x:c r="N5" s="42" t="n">
        <x:f>SUM(B5:M5)</x:f>
        <x:v>37200</x:v>
      </x:c>
    </x:row>
    <x:row r="6">
      <x:c r="A6" s="40" t="str">
        <x:v>Annual Bonus</x:v>
      </x:c>
      <x:c r="B6" s="41" t="n">
        <x:v>0</x:v>
      </x:c>
      <x:c r="C6" s="41" t="n">
        <x:v>0</x:v>
      </x:c>
      <x:c r="D6" s="41" t="n">
        <x:v>0</x:v>
      </x:c>
      <x:c r="E6" s="41" t="n">
        <x:v>0</x:v>
      </x:c>
      <x:c r="F6" s="41" t="n">
        <x:v>0</x:v>
      </x:c>
      <x:c r="G6" s="41" t="n">
        <x:v>2500</x:v>
      </x:c>
      <x:c r="H6" s="41" t="n">
        <x:v>0</x:v>
      </x:c>
      <x:c r="I6" s="41" t="n">
        <x:v>0</x:v>
      </x:c>
      <x:c r="J6" s="41" t="n">
        <x:v>0</x:v>
      </x:c>
      <x:c r="K6" s="41" t="n">
        <x:v>0</x:v>
      </x:c>
      <x:c r="L6" s="41" t="n">
        <x:v>0</x:v>
      </x:c>
      <x:c r="M6" s="41" t="n">
        <x:v>4000</x:v>
      </x:c>
      <x:c r="N6" s="42" t="n">
        <x:f>SUM(B6:M6)</x:f>
        <x:v>6500</x:v>
      </x:c>
    </x:row>
    <x:row r="7">
      <x:c r="A7" s="40" t="str">
        <x:v>Freelance / Side Income</x:v>
      </x:c>
      <x:c r="B7" s="41" t="n">
        <x:v>250</x:v>
      </x:c>
      <x:c r="C7" s="41" t="n">
        <x:v>350</x:v>
      </x:c>
      <x:c r="D7" s="41" t="n">
        <x:v>200</x:v>
      </x:c>
      <x:c r="E7" s="41" t="n">
        <x:v>400</x:v>
      </x:c>
      <x:c r="F7" s="41" t="n">
        <x:v>300</x:v>
      </x:c>
      <x:c r="G7" s="41" t="n">
        <x:v>450</x:v>
      </x:c>
      <x:c r="H7" s="41" t="n">
        <x:v>250</x:v>
      </x:c>
      <x:c r="I7" s="41" t="n">
        <x:v>300</x:v>
      </x:c>
      <x:c r="J7" s="41" t="n">
        <x:v>500</x:v>
      </x:c>
      <x:c r="K7" s="41" t="n">
        <x:v>350</x:v>
      </x:c>
      <x:c r="L7" s="41" t="n">
        <x:v>300</x:v>
      </x:c>
      <x:c r="M7" s="41" t="n">
        <x:v>600</x:v>
      </x:c>
      <x:c r="N7" s="42" t="n">
        <x:f>SUM(B7:M7)</x:f>
        <x:v>4250</x:v>
      </x:c>
    </x:row>
    <x:row r="8">
      <x:c r="A8" s="40" t="str">
        <x:v>Interest &amp; Other Income</x:v>
      </x:c>
      <x:c r="B8" s="41" t="n">
        <x:v>25</x:v>
      </x:c>
      <x:c r="C8" s="41" t="n">
        <x:v>25</x:v>
      </x:c>
      <x:c r="D8" s="41" t="n">
        <x:v>30</x:v>
      </x:c>
      <x:c r="E8" s="41" t="n">
        <x:v>25</x:v>
      </x:c>
      <x:c r="F8" s="41" t="n">
        <x:v>30</x:v>
      </x:c>
      <x:c r="G8" s="41" t="n">
        <x:v>30</x:v>
      </x:c>
      <x:c r="H8" s="41" t="n">
        <x:v>35</x:v>
      </x:c>
      <x:c r="I8" s="41" t="n">
        <x:v>35</x:v>
      </x:c>
      <x:c r="J8" s="41" t="n">
        <x:v>35</x:v>
      </x:c>
      <x:c r="K8" s="41" t="n">
        <x:v>40</x:v>
      </x:c>
      <x:c r="L8" s="41" t="n">
        <x:v>40</x:v>
      </x:c>
      <x:c r="M8" s="41" t="n">
        <x:v>45</x:v>
      </x:c>
      <x:c r="N8" s="42" t="n">
        <x:f>SUM(B8:M8)</x:f>
        <x:v>395</x:v>
      </x:c>
    </x:row>
    <x:row r="9">
      <x:c r="A9" s="52" t="str">
        <x:v>Total Income</x:v>
      </x:c>
      <x:c r="B9" s="53" t="n">
        <x:f>SUM(B4:B8)</x:f>
        <x:v>8575</x:v>
      </x:c>
      <x:c r="C9" s="53" t="n">
        <x:f>SUM(C4:C8)</x:f>
        <x:v>8675</x:v>
      </x:c>
      <x:c r="D9" s="53" t="n">
        <x:f>SUM(D4:D8)</x:f>
        <x:v>8530</x:v>
      </x:c>
      <x:c r="E9" s="53" t="n">
        <x:f>SUM(E4:E8)</x:f>
        <x:v>8725</x:v>
      </x:c>
      <x:c r="F9" s="53" t="n">
        <x:f>SUM(F4:F8)</x:f>
        <x:v>8630</x:v>
      </x:c>
      <x:c r="G9" s="53" t="n">
        <x:f>SUM(G4:G8)</x:f>
        <x:v>11280</x:v>
      </x:c>
      <x:c r="H9" s="53" t="n">
        <x:f>SUM(H4:H8)</x:f>
        <x:v>8585</x:v>
      </x:c>
      <x:c r="I9" s="53" t="n">
        <x:f>SUM(I4:I8)</x:f>
        <x:v>8635</x:v>
      </x:c>
      <x:c r="J9" s="53" t="n">
        <x:f>SUM(J4:J8)</x:f>
        <x:v>8835</x:v>
      </x:c>
      <x:c r="K9" s="53" t="n">
        <x:f>SUM(K4:K8)</x:f>
        <x:v>8690</x:v>
      </x:c>
      <x:c r="L9" s="53" t="n">
        <x:f>SUM(L4:L8)</x:f>
        <x:v>8640</x:v>
      </x:c>
      <x:c r="M9" s="53" t="n">
        <x:f>SUM(M4:M8)</x:f>
        <x:v>12945</x:v>
      </x:c>
      <x:c r="N9" s="53" t="n">
        <x:f>SUM(B9:M9)</x:f>
        <x:v>110745</x:v>
      </x:c>
    </x:row>
    <x:row r="10">
      <x:c r="A10" s="40" t="str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</x:row>
    <x:row r="11">
      <x:c r="A11" s="38" t="str">
        <x:v>ESSENTIAL EXPENSES</x:v>
      </x:c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</x:row>
    <x:row r="12">
      <x:c r="A12" s="40" t="str">
        <x:v>Mortgage</x:v>
      </x:c>
      <x:c r="B12" s="41" t="n">
        <x:v>1850</x:v>
      </x:c>
      <x:c r="C12" s="41" t="n">
        <x:v>1850</x:v>
      </x:c>
      <x:c r="D12" s="41" t="n">
        <x:v>1850</x:v>
      </x:c>
      <x:c r="E12" s="41" t="n">
        <x:v>1850</x:v>
      </x:c>
      <x:c r="F12" s="41" t="n">
        <x:v>1850</x:v>
      </x:c>
      <x:c r="G12" s="41" t="n">
        <x:v>1850</x:v>
      </x:c>
      <x:c r="H12" s="41" t="n">
        <x:v>1850</x:v>
      </x:c>
      <x:c r="I12" s="41" t="n">
        <x:v>1850</x:v>
      </x:c>
      <x:c r="J12" s="41" t="n">
        <x:v>1850</x:v>
      </x:c>
      <x:c r="K12" s="41" t="n">
        <x:v>1850</x:v>
      </x:c>
      <x:c r="L12" s="41" t="n">
        <x:v>1850</x:v>
      </x:c>
      <x:c r="M12" s="41" t="n">
        <x:v>1850</x:v>
      </x:c>
      <x:c r="N12" s="42" t="n">
        <x:f>SUM(B12:M12)</x:f>
        <x:v>22200</x:v>
      </x:c>
    </x:row>
    <x:row r="13">
      <x:c r="A13" s="40" t="str">
        <x:v>Property Tax / HOA Reserve</x:v>
      </x:c>
      <x:c r="B13" s="41" t="n">
        <x:v>420</x:v>
      </x:c>
      <x:c r="C13" s="41" t="n">
        <x:v>420</x:v>
      </x:c>
      <x:c r="D13" s="41" t="n">
        <x:v>420</x:v>
      </x:c>
      <x:c r="E13" s="41" t="n">
        <x:v>420</x:v>
      </x:c>
      <x:c r="F13" s="41" t="n">
        <x:v>420</x:v>
      </x:c>
      <x:c r="G13" s="41" t="n">
        <x:v>420</x:v>
      </x:c>
      <x:c r="H13" s="41" t="n">
        <x:v>420</x:v>
      </x:c>
      <x:c r="I13" s="41" t="n">
        <x:v>420</x:v>
      </x:c>
      <x:c r="J13" s="41" t="n">
        <x:v>420</x:v>
      </x:c>
      <x:c r="K13" s="41" t="n">
        <x:v>420</x:v>
      </x:c>
      <x:c r="L13" s="41" t="n">
        <x:v>420</x:v>
      </x:c>
      <x:c r="M13" s="41" t="n">
        <x:v>420</x:v>
      </x:c>
      <x:c r="N13" s="42" t="n">
        <x:f>SUM(B13:M13)</x:f>
        <x:v>5040</x:v>
      </x:c>
    </x:row>
    <x:row r="14">
      <x:c r="A14" s="40" t="str">
        <x:v>Utilities</x:v>
      </x:c>
      <x:c r="B14" s="41" t="n">
        <x:v>260</x:v>
      </x:c>
      <x:c r="C14" s="41" t="n">
        <x:v>240</x:v>
      </x:c>
      <x:c r="D14" s="41" t="n">
        <x:v>230</x:v>
      </x:c>
      <x:c r="E14" s="41" t="n">
        <x:v>220</x:v>
      </x:c>
      <x:c r="F14" s="41" t="n">
        <x:v>210</x:v>
      </x:c>
      <x:c r="G14" s="41" t="n">
        <x:v>250</x:v>
      </x:c>
      <x:c r="H14" s="41" t="n">
        <x:v>320</x:v>
      </x:c>
      <x:c r="I14" s="41" t="n">
        <x:v>340</x:v>
      </x:c>
      <x:c r="J14" s="41" t="n">
        <x:v>260</x:v>
      </x:c>
      <x:c r="K14" s="41" t="n">
        <x:v>230</x:v>
      </x:c>
      <x:c r="L14" s="41" t="n">
        <x:v>240</x:v>
      </x:c>
      <x:c r="M14" s="41" t="n">
        <x:v>300</x:v>
      </x:c>
      <x:c r="N14" s="42" t="n">
        <x:f>SUM(B14:M14)</x:f>
        <x:v>3100</x:v>
      </x:c>
    </x:row>
    <x:row r="15">
      <x:c r="A15" s="40" t="str">
        <x:v>Groceries</x:v>
      </x:c>
      <x:c r="B15" s="41" t="n">
        <x:v>720</x:v>
      </x:c>
      <x:c r="C15" s="41" t="n">
        <x:v>690</x:v>
      </x:c>
      <x:c r="D15" s="41" t="n">
        <x:v>710</x:v>
      </x:c>
      <x:c r="E15" s="41" t="n">
        <x:v>740</x:v>
      </x:c>
      <x:c r="F15" s="41" t="n">
        <x:v>760</x:v>
      </x:c>
      <x:c r="G15" s="41" t="n">
        <x:v>780</x:v>
      </x:c>
      <x:c r="H15" s="41" t="n">
        <x:v>750</x:v>
      </x:c>
      <x:c r="I15" s="41" t="n">
        <x:v>770</x:v>
      </x:c>
      <x:c r="J15" s="41" t="n">
        <x:v>730</x:v>
      </x:c>
      <x:c r="K15" s="41" t="n">
        <x:v>710</x:v>
      </x:c>
      <x:c r="L15" s="41" t="n">
        <x:v>760</x:v>
      </x:c>
      <x:c r="M15" s="41" t="n">
        <x:v>900</x:v>
      </x:c>
      <x:c r="N15" s="42" t="n">
        <x:f>SUM(B15:M15)</x:f>
        <x:v>9020</x:v>
      </x:c>
    </x:row>
    <x:row r="16">
      <x:c r="A16" s="40" t="str">
        <x:v>Transportation</x:v>
      </x:c>
      <x:c r="B16" s="41" t="n">
        <x:v>380</x:v>
      </x:c>
      <x:c r="C16" s="41" t="n">
        <x:v>360</x:v>
      </x:c>
      <x:c r="D16" s="41" t="n">
        <x:v>390</x:v>
      </x:c>
      <x:c r="E16" s="41" t="n">
        <x:v>410</x:v>
      </x:c>
      <x:c r="F16" s="41" t="n">
        <x:v>370</x:v>
      </x:c>
      <x:c r="G16" s="41" t="n">
        <x:v>420</x:v>
      </x:c>
      <x:c r="H16" s="41" t="n">
        <x:v>400</x:v>
      </x:c>
      <x:c r="I16" s="41" t="n">
        <x:v>450</x:v>
      </x:c>
      <x:c r="J16" s="41" t="n">
        <x:v>390</x:v>
      </x:c>
      <x:c r="K16" s="41" t="n">
        <x:v>380</x:v>
      </x:c>
      <x:c r="L16" s="41" t="n">
        <x:v>410</x:v>
      </x:c>
      <x:c r="M16" s="41" t="n">
        <x:v>500</x:v>
      </x:c>
      <x:c r="N16" s="42" t="n">
        <x:f>SUM(B16:M16)</x:f>
        <x:v>4860</x:v>
      </x:c>
    </x:row>
    <x:row r="17">
      <x:c r="A17" s="40" t="str">
        <x:v>Insurance</x:v>
      </x:c>
      <x:c r="B17" s="41" t="n">
        <x:v>310</x:v>
      </x:c>
      <x:c r="C17" s="41" t="n">
        <x:v>310</x:v>
      </x:c>
      <x:c r="D17" s="41" t="n">
        <x:v>310</x:v>
      </x:c>
      <x:c r="E17" s="41" t="n">
        <x:v>310</x:v>
      </x:c>
      <x:c r="F17" s="41" t="n">
        <x:v>310</x:v>
      </x:c>
      <x:c r="G17" s="41" t="n">
        <x:v>310</x:v>
      </x:c>
      <x:c r="H17" s="41" t="n">
        <x:v>310</x:v>
      </x:c>
      <x:c r="I17" s="41" t="n">
        <x:v>310</x:v>
      </x:c>
      <x:c r="J17" s="41" t="n">
        <x:v>310</x:v>
      </x:c>
      <x:c r="K17" s="41" t="n">
        <x:v>310</x:v>
      </x:c>
      <x:c r="L17" s="41" t="n">
        <x:v>310</x:v>
      </x:c>
      <x:c r="M17" s="41" t="n">
        <x:v>310</x:v>
      </x:c>
      <x:c r="N17" s="42" t="n">
        <x:f>SUM(B17:M17)</x:f>
        <x:v>3720</x:v>
      </x:c>
    </x:row>
    <x:row r="18">
      <x:c r="A18" s="40" t="str">
        <x:v>Childcare / School</x:v>
      </x:c>
      <x:c r="B18" s="41" t="n">
        <x:v>680</x:v>
      </x:c>
      <x:c r="C18" s="41" t="n">
        <x:v>680</x:v>
      </x:c>
      <x:c r="D18" s="41" t="n">
        <x:v>680</x:v>
      </x:c>
      <x:c r="E18" s="41" t="n">
        <x:v>680</x:v>
      </x:c>
      <x:c r="F18" s="41" t="n">
        <x:v>680</x:v>
      </x:c>
      <x:c r="G18" s="41" t="n">
        <x:v>680</x:v>
      </x:c>
      <x:c r="H18" s="41" t="n">
        <x:v>680</x:v>
      </x:c>
      <x:c r="I18" s="41" t="n">
        <x:v>680</x:v>
      </x:c>
      <x:c r="J18" s="41" t="n">
        <x:v>720</x:v>
      </x:c>
      <x:c r="K18" s="41" t="n">
        <x:v>720</x:v>
      </x:c>
      <x:c r="L18" s="41" t="n">
        <x:v>720</x:v>
      </x:c>
      <x:c r="M18" s="41" t="n">
        <x:v>720</x:v>
      </x:c>
      <x:c r="N18" s="42" t="n">
        <x:f>SUM(B18:M18)</x:f>
        <x:v>8320</x:v>
      </x:c>
    </x:row>
    <x:row r="19">
      <x:c r="A19" s="40" t="str">
        <x:v>Medical / Pharmacy</x:v>
      </x:c>
      <x:c r="B19" s="41" t="n">
        <x:v>120</x:v>
      </x:c>
      <x:c r="C19" s="41" t="n">
        <x:v>80</x:v>
      </x:c>
      <x:c r="D19" s="41" t="n">
        <x:v>150</x:v>
      </x:c>
      <x:c r="E19" s="41" t="n">
        <x:v>60</x:v>
      </x:c>
      <x:c r="F19" s="41" t="n">
        <x:v>90</x:v>
      </x:c>
      <x:c r="G19" s="41" t="n">
        <x:v>110</x:v>
      </x:c>
      <x:c r="H19" s="41" t="n">
        <x:v>130</x:v>
      </x:c>
      <x:c r="I19" s="41" t="n">
        <x:v>75</x:v>
      </x:c>
      <x:c r="J19" s="41" t="n">
        <x:v>95</x:v>
      </x:c>
      <x:c r="K19" s="41" t="n">
        <x:v>160</x:v>
      </x:c>
      <x:c r="L19" s="41" t="n">
        <x:v>90</x:v>
      </x:c>
      <x:c r="M19" s="41" t="n">
        <x:v>140</x:v>
      </x:c>
      <x:c r="N19" s="42" t="n">
        <x:f>SUM(B19:M19)</x:f>
        <x:v>1300</x:v>
      </x:c>
    </x:row>
    <x:row r="20">
      <x:c r="A20" s="40" t="str">
        <x:v>Internet / Mobile</x:v>
      </x:c>
      <x:c r="B20" s="41" t="n">
        <x:v>145</x:v>
      </x:c>
      <x:c r="C20" s="41" t="n">
        <x:v>145</x:v>
      </x:c>
      <x:c r="D20" s="41" t="n">
        <x:v>145</x:v>
      </x:c>
      <x:c r="E20" s="41" t="n">
        <x:v>145</x:v>
      </x:c>
      <x:c r="F20" s="41" t="n">
        <x:v>145</x:v>
      </x:c>
      <x:c r="G20" s="41" t="n">
        <x:v>145</x:v>
      </x:c>
      <x:c r="H20" s="41" t="n">
        <x:v>145</x:v>
      </x:c>
      <x:c r="I20" s="41" t="n">
        <x:v>145</x:v>
      </x:c>
      <x:c r="J20" s="41" t="n">
        <x:v>145</x:v>
      </x:c>
      <x:c r="K20" s="41" t="n">
        <x:v>145</x:v>
      </x:c>
      <x:c r="L20" s="41" t="n">
        <x:v>145</x:v>
      </x:c>
      <x:c r="M20" s="41" t="n">
        <x:v>145</x:v>
      </x:c>
      <x:c r="N20" s="42" t="n">
        <x:f>SUM(B20:M20)</x:f>
        <x:v>1740</x:v>
      </x:c>
    </x:row>
    <x:row r="21">
      <x:c r="A21" s="52" t="str">
        <x:v>Total Essential Expenses</x:v>
      </x:c>
      <x:c r="B21" s="53" t="n">
        <x:f>SUM(B12:B20)</x:f>
        <x:v>4885</x:v>
      </x:c>
      <x:c r="C21" s="53" t="n">
        <x:f>SUM(C12:C20)</x:f>
        <x:v>4775</x:v>
      </x:c>
      <x:c r="D21" s="53" t="n">
        <x:f>SUM(D12:D20)</x:f>
        <x:v>4885</x:v>
      </x:c>
      <x:c r="E21" s="53" t="n">
        <x:f>SUM(E12:E20)</x:f>
        <x:v>4835</x:v>
      </x:c>
      <x:c r="F21" s="53" t="n">
        <x:f>SUM(F12:F20)</x:f>
        <x:v>4835</x:v>
      </x:c>
      <x:c r="G21" s="53" t="n">
        <x:f>SUM(G12:G20)</x:f>
        <x:v>4965</x:v>
      </x:c>
      <x:c r="H21" s="53" t="n">
        <x:f>SUM(H12:H20)</x:f>
        <x:v>5005</x:v>
      </x:c>
      <x:c r="I21" s="53" t="n">
        <x:f>SUM(I12:I20)</x:f>
        <x:v>5040</x:v>
      </x:c>
      <x:c r="J21" s="53" t="n">
        <x:f>SUM(J12:J20)</x:f>
        <x:v>4920</x:v>
      </x:c>
      <x:c r="K21" s="53" t="n">
        <x:f>SUM(K12:K20)</x:f>
        <x:v>4925</x:v>
      </x:c>
      <x:c r="L21" s="53" t="n">
        <x:f>SUM(L12:L20)</x:f>
        <x:v>4945</x:v>
      </x:c>
      <x:c r="M21" s="53" t="n">
        <x:f>SUM(M12:M20)</x:f>
        <x:v>5285</x:v>
      </x:c>
      <x:c r="N21" s="53" t="n">
        <x:f>SUM(B21:M21)</x:f>
        <x:v>59300</x:v>
      </x:c>
    </x:row>
    <x:row r="22">
      <x:c r="A22" s="40" t="str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</x:row>
    <x:row r="23">
      <x:c r="A23" s="38" t="str">
        <x:v>DISCRETIONARY EXPENSES</x:v>
      </x:c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</x:row>
    <x:row r="24">
      <x:c r="A24" s="40" t="str">
        <x:v>Dining Out</x:v>
      </x:c>
      <x:c r="B24" s="41" t="n">
        <x:v>260</x:v>
      </x:c>
      <x:c r="C24" s="41" t="n">
        <x:v>220</x:v>
      </x:c>
      <x:c r="D24" s="41" t="n">
        <x:v>280</x:v>
      </x:c>
      <x:c r="E24" s="41" t="n">
        <x:v>300</x:v>
      </x:c>
      <x:c r="F24" s="41" t="n">
        <x:v>250</x:v>
      </x:c>
      <x:c r="G24" s="41" t="n">
        <x:v>310</x:v>
      </x:c>
      <x:c r="H24" s="41" t="n">
        <x:v>290</x:v>
      </x:c>
      <x:c r="I24" s="41" t="n">
        <x:v>330</x:v>
      </x:c>
      <x:c r="J24" s="41" t="n">
        <x:v>270</x:v>
      </x:c>
      <x:c r="K24" s="41" t="n">
        <x:v>260</x:v>
      </x:c>
      <x:c r="L24" s="41" t="n">
        <x:v>310</x:v>
      </x:c>
      <x:c r="M24" s="41" t="n">
        <x:v>420</x:v>
      </x:c>
      <x:c r="N24" s="42" t="n">
        <x:f>SUM(B24:M24)</x:f>
        <x:v>3500</x:v>
      </x:c>
    </x:row>
    <x:row r="25">
      <x:c r="A25" s="40" t="str">
        <x:v>Entertainment</x:v>
      </x:c>
      <x:c r="B25" s="41" t="n">
        <x:v>140</x:v>
      </x:c>
      <x:c r="C25" s="41" t="n">
        <x:v>110</x:v>
      </x:c>
      <x:c r="D25" s="41" t="n">
        <x:v>150</x:v>
      </x:c>
      <x:c r="E25" s="41" t="n">
        <x:v>130</x:v>
      </x:c>
      <x:c r="F25" s="41" t="n">
        <x:v>180</x:v>
      </x:c>
      <x:c r="G25" s="41" t="n">
        <x:v>160</x:v>
      </x:c>
      <x:c r="H25" s="41" t="n">
        <x:v>190</x:v>
      </x:c>
      <x:c r="I25" s="41" t="n">
        <x:v>170</x:v>
      </x:c>
      <x:c r="J25" s="41" t="n">
        <x:v>140</x:v>
      </x:c>
      <x:c r="K25" s="41" t="n">
        <x:v>150</x:v>
      </x:c>
      <x:c r="L25" s="41" t="n">
        <x:v>180</x:v>
      </x:c>
      <x:c r="M25" s="41" t="n">
        <x:v>220</x:v>
      </x:c>
      <x:c r="N25" s="42" t="n">
        <x:f>SUM(B25:M25)</x:f>
        <x:v>1920</x:v>
      </x:c>
    </x:row>
    <x:row r="26">
      <x:c r="A26" s="40" t="str">
        <x:v>Clothing</x:v>
      </x:c>
      <x:c r="B26" s="41" t="n">
        <x:v>120</x:v>
      </x:c>
      <x:c r="C26" s="41" t="n">
        <x:v>80</x:v>
      </x:c>
      <x:c r="D26" s="41" t="n">
        <x:v>160</x:v>
      </x:c>
      <x:c r="E26" s="41" t="n">
        <x:v>90</x:v>
      </x:c>
      <x:c r="F26" s="41" t="n">
        <x:v>140</x:v>
      </x:c>
      <x:c r="G26" s="41" t="n">
        <x:v>100</x:v>
      </x:c>
      <x:c r="H26" s="41" t="n">
        <x:v>130</x:v>
      </x:c>
      <x:c r="I26" s="41" t="n">
        <x:v>150</x:v>
      </x:c>
      <x:c r="J26" s="41" t="n">
        <x:v>90</x:v>
      </x:c>
      <x:c r="K26" s="41" t="n">
        <x:v>110</x:v>
      </x:c>
      <x:c r="L26" s="41" t="n">
        <x:v>180</x:v>
      </x:c>
      <x:c r="M26" s="41" t="n">
        <x:v>260</x:v>
      </x:c>
      <x:c r="N26" s="42" t="n">
        <x:f>SUM(B26:M26)</x:f>
        <x:v>1610</x:v>
      </x:c>
    </x:row>
    <x:row r="27">
      <x:c r="A27" s="40" t="str">
        <x:v>Travel / Vacation</x:v>
      </x:c>
      <x:c r="B27" s="41" t="n">
        <x:v>0</x:v>
      </x:c>
      <x:c r="C27" s="41" t="n">
        <x:v>0</x:v>
      </x:c>
      <x:c r="D27" s="41" t="n">
        <x:v>300</x:v>
      </x:c>
      <x:c r="E27" s="41" t="n">
        <x:v>0</x:v>
      </x:c>
      <x:c r="F27" s="41" t="n">
        <x:v>0</x:v>
      </x:c>
      <x:c r="G27" s="41" t="n">
        <x:v>1200</x:v>
      </x:c>
      <x:c r="H27" s="41" t="n">
        <x:v>0</x:v>
      </x:c>
      <x:c r="I27" s="41" t="n">
        <x:v>0</x:v>
      </x:c>
      <x:c r="J27" s="41" t="n">
        <x:v>450</x:v>
      </x:c>
      <x:c r="K27" s="41" t="n">
        <x:v>0</x:v>
      </x:c>
      <x:c r="L27" s="41" t="n">
        <x:v>0</x:v>
      </x:c>
      <x:c r="M27" s="41" t="n">
        <x:v>1800</x:v>
      </x:c>
      <x:c r="N27" s="42" t="n">
        <x:f>SUM(B27:M27)</x:f>
        <x:v>3750</x:v>
      </x:c>
    </x:row>
    <x:row r="28">
      <x:c r="A28" s="40" t="str">
        <x:v>Subscriptions</x:v>
      </x:c>
      <x:c r="B28" s="41" t="n">
        <x:v>95</x:v>
      </x:c>
      <x:c r="C28" s="41" t="n">
        <x:v>95</x:v>
      </x:c>
      <x:c r="D28" s="41" t="n">
        <x:v>95</x:v>
      </x:c>
      <x:c r="E28" s="41" t="n">
        <x:v>95</x:v>
      </x:c>
      <x:c r="F28" s="41" t="n">
        <x:v>95</x:v>
      </x:c>
      <x:c r="G28" s="41" t="n">
        <x:v>95</x:v>
      </x:c>
      <x:c r="H28" s="41" t="n">
        <x:v>95</x:v>
      </x:c>
      <x:c r="I28" s="41" t="n">
        <x:v>95</x:v>
      </x:c>
      <x:c r="J28" s="41" t="n">
        <x:v>95</x:v>
      </x:c>
      <x:c r="K28" s="41" t="n">
        <x:v>95</x:v>
      </x:c>
      <x:c r="L28" s="41" t="n">
        <x:v>95</x:v>
      </x:c>
      <x:c r="M28" s="41" t="n">
        <x:v>95</x:v>
      </x:c>
      <x:c r="N28" s="42" t="n">
        <x:f>SUM(B28:M28)</x:f>
        <x:v>1140</x:v>
      </x:c>
    </x:row>
    <x:row r="29">
      <x:c r="A29" s="40" t="str">
        <x:v>Gifts / Donations</x:v>
      </x:c>
      <x:c r="B29" s="41" t="n">
        <x:v>80</x:v>
      </x:c>
      <x:c r="C29" s="41" t="n">
        <x:v>60</x:v>
      </x:c>
      <x:c r="D29" s="41" t="n">
        <x:v>75</x:v>
      </x:c>
      <x:c r="E29" s="41" t="n">
        <x:v>90</x:v>
      </x:c>
      <x:c r="F29" s="41" t="n">
        <x:v>100</x:v>
      </x:c>
      <x:c r="G29" s="41" t="n">
        <x:v>120</x:v>
      </x:c>
      <x:c r="H29" s="41" t="n">
        <x:v>80</x:v>
      </x:c>
      <x:c r="I29" s="41" t="n">
        <x:v>85</x:v>
      </x:c>
      <x:c r="J29" s="41" t="n">
        <x:v>75</x:v>
      </x:c>
      <x:c r="K29" s="41" t="n">
        <x:v>90</x:v>
      </x:c>
      <x:c r="L29" s="41" t="n">
        <x:v>140</x:v>
      </x:c>
      <x:c r="M29" s="41" t="n">
        <x:v>350</x:v>
      </x:c>
      <x:c r="N29" s="42" t="n">
        <x:f>SUM(B29:M29)</x:f>
        <x:v>1345</x:v>
      </x:c>
    </x:row>
    <x:row r="30">
      <x:c r="A30" s="40" t="str">
        <x:v>Home Maintenance</x:v>
      </x:c>
      <x:c r="B30" s="41" t="n">
        <x:v>100</x:v>
      </x:c>
      <x:c r="C30" s="41" t="n">
        <x:v>150</x:v>
      </x:c>
      <x:c r="D30" s="41" t="n">
        <x:v>80</x:v>
      </x:c>
      <x:c r="E30" s="41" t="n">
        <x:v>120</x:v>
      </x:c>
      <x:c r="F30" s="41" t="n">
        <x:v>250</x:v>
      </x:c>
      <x:c r="G30" s="41" t="n">
        <x:v>100</x:v>
      </x:c>
      <x:c r="H30" s="41" t="n">
        <x:v>400</x:v>
      </x:c>
      <x:c r="I30" s="41" t="n">
        <x:v>120</x:v>
      </x:c>
      <x:c r="J30" s="41" t="n">
        <x:v>90</x:v>
      </x:c>
      <x:c r="K30" s="41" t="n">
        <x:v>160</x:v>
      </x:c>
      <x:c r="L30" s="41" t="n">
        <x:v>110</x:v>
      </x:c>
      <x:c r="M30" s="41" t="n">
        <x:v>300</x:v>
      </x:c>
      <x:c r="N30" s="42" t="n">
        <x:f>SUM(B30:M30)</x:f>
        <x:v>1980</x:v>
      </x:c>
    </x:row>
    <x:row r="31">
      <x:c r="A31" s="52" t="str">
        <x:v>Total Discretionary Expenses</x:v>
      </x:c>
      <x:c r="B31" s="53" t="n">
        <x:f>SUM(B24:B30)</x:f>
        <x:v>795</x:v>
      </x:c>
      <x:c r="C31" s="53" t="n">
        <x:f>SUM(C24:C30)</x:f>
        <x:v>715</x:v>
      </x:c>
      <x:c r="D31" s="53" t="n">
        <x:f>SUM(D24:D30)</x:f>
        <x:v>1140</x:v>
      </x:c>
      <x:c r="E31" s="53" t="n">
        <x:f>SUM(E24:E30)</x:f>
        <x:v>825</x:v>
      </x:c>
      <x:c r="F31" s="53" t="n">
        <x:f>SUM(F24:F30)</x:f>
        <x:v>1015</x:v>
      </x:c>
      <x:c r="G31" s="53" t="n">
        <x:f>SUM(G24:G30)</x:f>
        <x:v>2085</x:v>
      </x:c>
      <x:c r="H31" s="53" t="n">
        <x:f>SUM(H24:H30)</x:f>
        <x:v>1185</x:v>
      </x:c>
      <x:c r="I31" s="53" t="n">
        <x:f>SUM(I24:I30)</x:f>
        <x:v>950</x:v>
      </x:c>
      <x:c r="J31" s="53" t="n">
        <x:f>SUM(J24:J30)</x:f>
        <x:v>1210</x:v>
      </x:c>
      <x:c r="K31" s="53" t="n">
        <x:f>SUM(K24:K30)</x:f>
        <x:v>865</x:v>
      </x:c>
      <x:c r="L31" s="53" t="n">
        <x:f>SUM(L24:L30)</x:f>
        <x:v>1015</x:v>
      </x:c>
      <x:c r="M31" s="53" t="n">
        <x:f>SUM(M24:M30)</x:f>
        <x:v>3445</x:v>
      </x:c>
      <x:c r="N31" s="53" t="n">
        <x:f>SUM(B31:M31)</x:f>
        <x:v>15245</x:v>
      </x:c>
    </x:row>
    <x:row r="32">
      <x:c r="A32" s="40" t="str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33">
      <x:c r="A33" s="38" t="str">
        <x:v>SAVINGS &amp; DEBT PAYDOWN</x:v>
      </x:c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</x:row>
    <x:row r="34">
      <x:c r="A34" s="40" t="str">
        <x:v>Retirement Contributions</x:v>
      </x:c>
      <x:c r="B34" s="41" t="n">
        <x:v>750</x:v>
      </x:c>
      <x:c r="C34" s="41" t="n">
        <x:v>750</x:v>
      </x:c>
      <x:c r="D34" s="41" t="n">
        <x:v>750</x:v>
      </x:c>
      <x:c r="E34" s="41" t="n">
        <x:v>750</x:v>
      </x:c>
      <x:c r="F34" s="41" t="n">
        <x:v>750</x:v>
      </x:c>
      <x:c r="G34" s="41" t="n">
        <x:v>750</x:v>
      </x:c>
      <x:c r="H34" s="41" t="n">
        <x:v>750</x:v>
      </x:c>
      <x:c r="I34" s="41" t="n">
        <x:v>750</x:v>
      </x:c>
      <x:c r="J34" s="41" t="n">
        <x:v>750</x:v>
      </x:c>
      <x:c r="K34" s="41" t="n">
        <x:v>750</x:v>
      </x:c>
      <x:c r="L34" s="41" t="n">
        <x:v>750</x:v>
      </x:c>
      <x:c r="M34" s="41" t="n">
        <x:v>750</x:v>
      </x:c>
      <x:c r="N34" s="42" t="n">
        <x:f>SUM(B34:M34)</x:f>
        <x:v>9000</x:v>
      </x:c>
    </x:row>
    <x:row r="35">
      <x:c r="A35" s="40" t="str">
        <x:v>Education Fund</x:v>
      </x:c>
      <x:c r="B35" s="41" t="n">
        <x:v>250</x:v>
      </x:c>
      <x:c r="C35" s="41" t="n">
        <x:v>250</x:v>
      </x:c>
      <x:c r="D35" s="41" t="n">
        <x:v>250</x:v>
      </x:c>
      <x:c r="E35" s="41" t="n">
        <x:v>250</x:v>
      </x:c>
      <x:c r="F35" s="41" t="n">
        <x:v>250</x:v>
      </x:c>
      <x:c r="G35" s="41" t="n">
        <x:v>250</x:v>
      </x:c>
      <x:c r="H35" s="41" t="n">
        <x:v>250</x:v>
      </x:c>
      <x:c r="I35" s="41" t="n">
        <x:v>250</x:v>
      </x:c>
      <x:c r="J35" s="41" t="n">
        <x:v>250</x:v>
      </x:c>
      <x:c r="K35" s="41" t="n">
        <x:v>250</x:v>
      </x:c>
      <x:c r="L35" s="41" t="n">
        <x:v>250</x:v>
      </x:c>
      <x:c r="M35" s="41" t="n">
        <x:v>250</x:v>
      </x:c>
      <x:c r="N35" s="42" t="n">
        <x:f>SUM(B35:M35)</x:f>
        <x:v>3000</x:v>
      </x:c>
    </x:row>
    <x:row r="36">
      <x:c r="A36" s="40" t="str">
        <x:v>Emergency Fund Contribution</x:v>
      </x:c>
      <x:c r="B36" s="41" t="n">
        <x:v>300</x:v>
      </x:c>
      <x:c r="C36" s="41" t="n">
        <x:v>300</x:v>
      </x:c>
      <x:c r="D36" s="41" t="n">
        <x:v>300</x:v>
      </x:c>
      <x:c r="E36" s="41" t="n">
        <x:v>300</x:v>
      </x:c>
      <x:c r="F36" s="41" t="n">
        <x:v>300</x:v>
      </x:c>
      <x:c r="G36" s="41" t="n">
        <x:v>300</x:v>
      </x:c>
      <x:c r="H36" s="41" t="n">
        <x:v>200</x:v>
      </x:c>
      <x:c r="I36" s="41" t="n">
        <x:v>200</x:v>
      </x:c>
      <x:c r="J36" s="41" t="n">
        <x:v>200</x:v>
      </x:c>
      <x:c r="K36" s="41" t="n">
        <x:v>200</x:v>
      </x:c>
      <x:c r="L36" s="41" t="n">
        <x:v>200</x:v>
      </x:c>
      <x:c r="M36" s="41" t="n">
        <x:v>200</x:v>
      </x:c>
      <x:c r="N36" s="42" t="n">
        <x:f>SUM(B36:M36)</x:f>
        <x:v>3000</x:v>
      </x:c>
    </x:row>
    <x:row r="37">
      <x:c r="A37" s="40" t="str">
        <x:v>Extra Mortgage Principal</x:v>
      </x:c>
      <x:c r="B37" s="41" t="n">
        <x:v>200</x:v>
      </x:c>
      <x:c r="C37" s="41" t="n">
        <x:v>200</x:v>
      </x:c>
      <x:c r="D37" s="41" t="n">
        <x:v>200</x:v>
      </x:c>
      <x:c r="E37" s="41" t="n">
        <x:v>200</x:v>
      </x:c>
      <x:c r="F37" s="41" t="n">
        <x:v>200</x:v>
      </x:c>
      <x:c r="G37" s="41" t="n">
        <x:v>200</x:v>
      </x:c>
      <x:c r="H37" s="41" t="n">
        <x:v>0</x:v>
      </x:c>
      <x:c r="I37" s="41" t="n">
        <x:v>0</x:v>
      </x:c>
      <x:c r="J37" s="41" t="n">
        <x:v>200</x:v>
      </x:c>
      <x:c r="K37" s="41" t="n">
        <x:v>200</x:v>
      </x:c>
      <x:c r="L37" s="41" t="n">
        <x:v>200</x:v>
      </x:c>
      <x:c r="M37" s="41" t="n">
        <x:v>500</x:v>
      </x:c>
      <x:c r="N37" s="42" t="n">
        <x:f>SUM(B37:M37)</x:f>
        <x:v>2300</x:v>
      </x:c>
    </x:row>
    <x:row r="38">
      <x:c r="A38" s="40" t="str">
        <x:v>Car Loan Payment</x:v>
      </x:c>
      <x:c r="B38" s="41" t="n">
        <x:v>420</x:v>
      </x:c>
      <x:c r="C38" s="41" t="n">
        <x:v>420</x:v>
      </x:c>
      <x:c r="D38" s="41" t="n">
        <x:v>420</x:v>
      </x:c>
      <x:c r="E38" s="41" t="n">
        <x:v>420</x:v>
      </x:c>
      <x:c r="F38" s="41" t="n">
        <x:v>420</x:v>
      </x:c>
      <x:c r="G38" s="41" t="n">
        <x:v>420</x:v>
      </x:c>
      <x:c r="H38" s="41" t="n">
        <x:v>420</x:v>
      </x:c>
      <x:c r="I38" s="41" t="n">
        <x:v>420</x:v>
      </x:c>
      <x:c r="J38" s="41" t="n">
        <x:v>420</x:v>
      </x:c>
      <x:c r="K38" s="41" t="n">
        <x:v>420</x:v>
      </x:c>
      <x:c r="L38" s="41" t="n">
        <x:v>420</x:v>
      </x:c>
      <x:c r="M38" s="41" t="n">
        <x:v>420</x:v>
      </x:c>
      <x:c r="N38" s="42" t="n">
        <x:f>SUM(B38:M38)</x:f>
        <x:v>5040</x:v>
      </x:c>
    </x:row>
    <x:row r="39">
      <x:c r="A39" s="40" t="str">
        <x:v>Total Savings &amp; Debt Paydown</x:v>
      </x:c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</x:row>
    <x:row r="40">
      <x:c r="A40" s="52" t="str"/>
      <x:c r="B40" s="53" t="n">
        <x:f>SUM(B34:B39)</x:f>
        <x:v>1920</x:v>
      </x:c>
      <x:c r="C40" s="53" t="n">
        <x:f>SUM(C34:C39)</x:f>
        <x:v>1920</x:v>
      </x:c>
      <x:c r="D40" s="53" t="n">
        <x:f>SUM(D34:D39)</x:f>
        <x:v>1920</x:v>
      </x:c>
      <x:c r="E40" s="53" t="n">
        <x:f>SUM(E34:E39)</x:f>
        <x:v>1920</x:v>
      </x:c>
      <x:c r="F40" s="53" t="n">
        <x:f>SUM(F34:F39)</x:f>
        <x:v>1920</x:v>
      </x:c>
      <x:c r="G40" s="53" t="n">
        <x:f>SUM(G34:G39)</x:f>
        <x:v>1920</x:v>
      </x:c>
      <x:c r="H40" s="53" t="n">
        <x:f>SUM(H34:H39)</x:f>
        <x:v>1620</x:v>
      </x:c>
      <x:c r="I40" s="53" t="n">
        <x:f>SUM(I34:I39)</x:f>
        <x:v>1620</x:v>
      </x:c>
      <x:c r="J40" s="53" t="n">
        <x:f>SUM(J34:J39)</x:f>
        <x:v>1820</x:v>
      </x:c>
      <x:c r="K40" s="53" t="n">
        <x:f>SUM(K34:K39)</x:f>
        <x:v>1820</x:v>
      </x:c>
      <x:c r="L40" s="53" t="n">
        <x:f>SUM(L34:L39)</x:f>
        <x:v>1820</x:v>
      </x:c>
      <x:c r="M40" s="53" t="n">
        <x:f>SUM(M34:M39)</x:f>
        <x:v>2120</x:v>
      </x:c>
      <x:c r="N40" s="53" t="n">
        <x:f>SUM(B40:M40)</x:f>
        <x:v>22340</x:v>
      </x:c>
    </x:row>
    <x:row r="41">
      <x:c r="A41" s="40" t="str">
        <x:v>Total Outflows</x:v>
      </x:c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</x:row>
    <x:row r="42">
      <x:c r="A42" s="52" t="str">
        <x:v>Net Cash Flow</x:v>
      </x:c>
      <x:c r="B42" s="53" t="n">
        <x:f>B21+B31+B40</x:f>
        <x:v>7600</x:v>
      </x:c>
      <x:c r="C42" s="53" t="n">
        <x:f>C21+C31+C40</x:f>
        <x:v>7410</x:v>
      </x:c>
      <x:c r="D42" s="53" t="n">
        <x:f>D21+D31+D40</x:f>
        <x:v>7945</x:v>
      </x:c>
      <x:c r="E42" s="53" t="n">
        <x:f>E21+E31+E40</x:f>
        <x:v>7580</x:v>
      </x:c>
      <x:c r="F42" s="53" t="n">
        <x:f>F21+F31+F40</x:f>
        <x:v>7770</x:v>
      </x:c>
      <x:c r="G42" s="53" t="n">
        <x:f>G21+G31+G40</x:f>
        <x:v>8970</x:v>
      </x:c>
      <x:c r="H42" s="53" t="n">
        <x:f>H21+H31+H40</x:f>
        <x:v>7810</x:v>
      </x:c>
      <x:c r="I42" s="53" t="n">
        <x:f>I21+I31+I40</x:f>
        <x:v>7610</x:v>
      </x:c>
      <x:c r="J42" s="53" t="n">
        <x:f>J21+J31+J40</x:f>
        <x:v>7950</x:v>
      </x:c>
      <x:c r="K42" s="53" t="n">
        <x:f>K21+K31+K40</x:f>
        <x:v>7610</x:v>
      </x:c>
      <x:c r="L42" s="53" t="n">
        <x:f>L21+L31+L40</x:f>
        <x:v>7780</x:v>
      </x:c>
      <x:c r="M42" s="53" t="n">
        <x:f>M21+M31+M40</x:f>
        <x:v>10850</x:v>
      </x:c>
      <x:c r="N42" s="53" t="n">
        <x:f>SUM(B42:M42)</x:f>
        <x:v>96885</x:v>
      </x:c>
    </x:row>
    <x:row r="43">
      <x:c r="A43" s="52" t="str">
        <x:v>Beginning Cash Balance</x:v>
      </x:c>
      <x:c r="B43" s="53" t="n">
        <x:f>B9-B42</x:f>
        <x:v>975</x:v>
      </x:c>
      <x:c r="C43" s="53" t="n">
        <x:f>C9-C42</x:f>
        <x:v>1265</x:v>
      </x:c>
      <x:c r="D43" s="53" t="n">
        <x:f>D9-D42</x:f>
        <x:v>585</x:v>
      </x:c>
      <x:c r="E43" s="53" t="n">
        <x:f>E9-E42</x:f>
        <x:v>1145</x:v>
      </x:c>
      <x:c r="F43" s="53" t="n">
        <x:f>F9-F42</x:f>
        <x:v>860</x:v>
      </x:c>
      <x:c r="G43" s="53" t="n">
        <x:f>G9-G42</x:f>
        <x:v>2310</x:v>
      </x:c>
      <x:c r="H43" s="53" t="n">
        <x:f>H9-H42</x:f>
        <x:v>775</x:v>
      </x:c>
      <x:c r="I43" s="53" t="n">
        <x:f>I9-I42</x:f>
        <x:v>1025</x:v>
      </x:c>
      <x:c r="J43" s="53" t="n">
        <x:f>J9-J42</x:f>
        <x:v>885</x:v>
      </x:c>
      <x:c r="K43" s="53" t="n">
        <x:f>K9-K42</x:f>
        <x:v>1080</x:v>
      </x:c>
      <x:c r="L43" s="53" t="n">
        <x:f>L9-L42</x:f>
        <x:v>860</x:v>
      </x:c>
      <x:c r="M43" s="53" t="n">
        <x:f>M9-M42</x:f>
        <x:v>2095</x:v>
      </x:c>
      <x:c r="N43" s="53" t="n">
        <x:f>SUM(B43:M43)</x:f>
        <x:v>13860</x:v>
      </x:c>
    </x:row>
    <x:row r="44">
      <x:c r="A44" s="52" t="str">
        <x:v>Ending Cash Balance</x:v>
      </x:c>
      <x:c r="B44" s="53" t="n">
        <x:v>12000</x:v>
      </x:c>
      <x:c r="C44" s="53" t="n">
        <x:f>B45</x:f>
        <x:v>12975</x:v>
      </x:c>
      <x:c r="D44" s="53" t="n">
        <x:f>C45</x:f>
        <x:v>14240</x:v>
      </x:c>
      <x:c r="E44" s="53" t="n">
        <x:f>D45</x:f>
        <x:v>14825</x:v>
      </x:c>
      <x:c r="F44" s="53" t="n">
        <x:f>E45</x:f>
        <x:v>15970</x:v>
      </x:c>
      <x:c r="G44" s="53" t="n">
        <x:f>F45</x:f>
        <x:v>16830</x:v>
      </x:c>
      <x:c r="H44" s="53" t="n">
        <x:f>G45</x:f>
        <x:v>19140</x:v>
      </x:c>
      <x:c r="I44" s="53" t="n">
        <x:f>H45</x:f>
        <x:v>19915</x:v>
      </x:c>
      <x:c r="J44" s="53" t="n">
        <x:f>I45</x:f>
        <x:v>20940</x:v>
      </x:c>
      <x:c r="K44" s="53" t="n">
        <x:f>J45</x:f>
        <x:v>21825</x:v>
      </x:c>
      <x:c r="L44" s="53" t="n">
        <x:f>K45</x:f>
        <x:v>22905</x:v>
      </x:c>
      <x:c r="M44" s="53" t="n">
        <x:f>L45</x:f>
        <x:v>23765</x:v>
      </x:c>
      <x:c r="N44" s="53" t="str">
        <x:v>-</x:v>
      </x:c>
    </x:row>
    <x:row r="45">
      <x:c r="A45" s="52"/>
      <x:c r="B45" s="53" t="n">
        <x:f>B44+B43</x:f>
        <x:v>12975</x:v>
      </x:c>
      <x:c r="C45" s="53" t="n">
        <x:f>C44+C43</x:f>
        <x:v>14240</x:v>
      </x:c>
      <x:c r="D45" s="53" t="n">
        <x:f>D44+D43</x:f>
        <x:v>14825</x:v>
      </x:c>
      <x:c r="E45" s="53" t="n">
        <x:f>E44+E43</x:f>
        <x:v>15970</x:v>
      </x:c>
      <x:c r="F45" s="53" t="n">
        <x:f>F44+F43</x:f>
        <x:v>16830</x:v>
      </x:c>
      <x:c r="G45" s="53" t="n">
        <x:f>G44+G43</x:f>
        <x:v>19140</x:v>
      </x:c>
      <x:c r="H45" s="53" t="n">
        <x:f>H44+H43</x:f>
        <x:v>19915</x:v>
      </x:c>
      <x:c r="I45" s="53" t="n">
        <x:f>I44+I43</x:f>
        <x:v>20940</x:v>
      </x:c>
      <x:c r="J45" s="53" t="n">
        <x:f>J44+J43</x:f>
        <x:v>21825</x:v>
      </x:c>
      <x:c r="K45" s="53" t="n">
        <x:f>K44+K43</x:f>
        <x:v>22905</x:v>
      </x:c>
      <x:c r="L45" s="53" t="n">
        <x:f>L44+L43</x:f>
        <x:v>23765</x:v>
      </x:c>
      <x:c r="M45" s="53" t="n">
        <x:f>M44+M43</x:f>
        <x:v>25860</x:v>
      </x:c>
      <x:c r="N45" s="53" t="n">
        <x:f>M45</x:f>
        <x:v>25860</x:v>
      </x:c>
    </x:row>
  </x:sheetData>
  <x:mergeCells>
    <x:mergeCell ref="A1:N1"/>
  </x:mergeCells>
  <x:conditionalFormatting sqref="B43:M43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4" hidden="0" customWidth="1"/>
  </x:cols>
  <x:sheetData>
    <x:row r="1">
      <x:c r="A1" s="36" t="str">
        <x:v>Annual Household Financial Summary</x:v>
      </x:c>
      <x:c r="B1" s="36"/>
      <x:c r="C1" s="36"/>
      <x:c r="D1" s="36"/>
      <x:c r="E1" s="5"/>
      <x:c r="F1" s="5"/>
      <x:c r="G1" s="5"/>
      <x:c r="H1" s="5"/>
    </x:row>
    <x:row r="2">
      <x:c r="A2" s="40"/>
      <x:c r="B2" s="40"/>
      <x:c r="C2" s="40"/>
      <x:c r="D2" s="40"/>
    </x:row>
    <x:row r="3">
      <x:c r="A3" s="37" t="str">
        <x:v>Key Metric</x:v>
      </x:c>
      <x:c r="B3" s="37" t="str">
        <x:v>Value</x:v>
      </x:c>
      <x:c r="C3" s="37" t="str">
        <x:v>Benchmark / Target</x:v>
      </x:c>
      <x:c r="D3" s="37" t="str">
        <x:v>Status</x:v>
      </x:c>
    </x:row>
    <x:row r="4">
      <x:c r="A4" s="40" t="str">
        <x:v>Total Income</x:v>
      </x:c>
      <x:c r="B4" s="70" t="n">
        <x:f>'Monthly Cash Flow'!N9</x:f>
        <x:v>110745</x:v>
      </x:c>
      <x:c r="C4" s="40"/>
      <x:c r="D4" s="40"/>
    </x:row>
    <x:row r="5">
      <x:c r="A5" s="40" t="str">
        <x:v>Essential Expenses</x:v>
      </x:c>
      <x:c r="B5" s="70" t="n">
        <x:f>'Monthly Cash Flow'!N21</x:f>
        <x:v>59300</x:v>
      </x:c>
      <x:c r="C5" s="40"/>
      <x:c r="D5" s="40"/>
    </x:row>
    <x:row r="6">
      <x:c r="A6" s="40" t="str">
        <x:v>Discretionary Expenses</x:v>
      </x:c>
      <x:c r="B6" s="70" t="n">
        <x:f>'Monthly Cash Flow'!N31</x:f>
        <x:v>15245</x:v>
      </x:c>
      <x:c r="C6" s="40"/>
      <x:c r="D6" s="40"/>
    </x:row>
    <x:row r="7">
      <x:c r="A7" s="40" t="str">
        <x:v>Savings &amp; Debt Paydown</x:v>
      </x:c>
      <x:c r="B7" s="70" t="n">
        <x:f>'Monthly Cash Flow'!N40</x:f>
        <x:v>22340</x:v>
      </x:c>
      <x:c r="C7" s="40"/>
      <x:c r="D7" s="40"/>
    </x:row>
    <x:row r="8">
      <x:c r="A8" s="40" t="str">
        <x:v>Net Annual Cash Flow</x:v>
      </x:c>
      <x:c r="B8" s="70" t="n">
        <x:f>'Monthly Cash Flow'!N43</x:f>
        <x:v>13860</x:v>
      </x:c>
      <x:c r="C8" s="40"/>
      <x:c r="D8" s="40"/>
    </x:row>
    <x:row r="9">
      <x:c r="A9" s="40" t="str">
        <x:v>Ending Cash Balance</x:v>
      </x:c>
      <x:c r="B9" s="70" t="n">
        <x:f>'Monthly Cash Flow'!N45</x:f>
        <x:v>25860</x:v>
      </x:c>
      <x:c r="C9" s="40"/>
      <x:c r="D9" s="40"/>
    </x:row>
    <x:row r="10">
      <x:c r="A10" s="40" t="str">
        <x:v>Savings Rate</x:v>
      </x:c>
      <x:c r="B10" s="71" t="n">
        <x:f>'Monthly Cash Flow'!N40/'Monthly Cash Flow'!N9</x:f>
        <x:v>0.2017246828299246</x:v>
      </x:c>
      <x:c r="C10" s="72" t="n">
        <x:v>0.2</x:v>
      </x:c>
      <x:c r="D10" s="40" t="str">
        <x:f>IF(B9&gt;=C9,"On Track","Below Target")</x:f>
        <x:v>On Track</x:v>
      </x:c>
    </x:row>
    <x:row r="11">
      <x:c r="A11" s="40" t="str">
        <x:v>Housing Cost Ratio</x:v>
      </x:c>
      <x:c r="B11" s="73" t="n">
        <x:f>SUM('Monthly Cash Flow'!B12:M13)/'Monthly Cash Flow'!N9</x:f>
        <x:v>0.24597047270757144</x:v>
      </x:c>
      <x:c r="C11" s="74" t="n">
        <x:v>0.3</x:v>
      </x:c>
      <x:c r="D11" s="40" t="str">
        <x:f>IF(B10&lt;=C10,"Healthy","High")</x:f>
        <x:v>High</x:v>
      </x:c>
    </x:row>
    <x:row r="12">
      <x:c r="A12" s="40" t="str">
        <x:v>Emergency Fund Coverage</x:v>
      </x:c>
      <x:c r="B12" s="73" t="n">
        <x:f>'Balance Sheet &amp; Goals'!B20/('Monthly Cash Flow'!N21/12)</x:f>
        <x:v>84.99156829679595</x:v>
      </x:c>
      <x:c r="C12" s="74" t="n">
        <x:v>6</x:v>
      </x:c>
      <x:c r="D12" s="40" t="str">
        <x:f>IF(B11&gt;=C11,"On Track","Below Target")</x:f>
        <x:v>Below Target</x:v>
      </x:c>
    </x:row>
    <x:row r="13">
      <x:c r="A13" s="40" t="str">
        <x:v>Debt-to-Income Ratio</x:v>
      </x:c>
      <x:c r="B13" s="75" t="n">
        <x:f>'Balance Sheet &amp; Goals'!B17/'Monthly Cash Flow'!N9</x:f>
        <x:v>0.9044200641112465</x:v>
      </x:c>
      <x:c r="C13" s="76" t="n">
        <x:v>3</x:v>
      </x:c>
      <x:c r="D13" s="40" t="str">
        <x:f>IF(B12&lt;=C12,"Healthy","High")</x:f>
        <x:v>High</x:v>
      </x:c>
    </x:row>
    <x:row r="14">
      <x:c r="A14" s="40"/>
      <x:c r="B14" s="40"/>
      <x:c r="C14" s="40"/>
      <x:c r="D14" s="40"/>
    </x:row>
    <x:row r="15">
      <x:c r="A15" s="37" t="str">
        <x:v>Annual Category</x:v>
      </x:c>
      <x:c r="B15" s="37" t="str">
        <x:v>Amount</x:v>
      </x:c>
      <x:c r="C15" s="37" t="str">
        <x:v>% of Income</x:v>
      </x:c>
      <x:c r="D15" s="37" t="str">
        <x:v>Notes</x:v>
      </x:c>
    </x:row>
    <x:row r="16">
      <x:c r="A16" s="40" t="str">
        <x:v>Housing</x:v>
      </x:c>
      <x:c r="B16" s="43" t="n">
        <x:f>SUM('Monthly Cash Flow'!B12:M13)</x:f>
        <x:v>27240</x:v>
      </x:c>
      <x:c r="C16" s="77" t="n">
        <x:f>B16/$B$4</x:f>
        <x:v>0.24597047270757144</x:v>
      </x:c>
      <x:c r="D16" s="40" t="str">
        <x:v>Mortgage plus property/HOA reserve</x:v>
      </x:c>
    </x:row>
    <x:row r="17">
      <x:c r="A17" s="40" t="str">
        <x:v>Food</x:v>
      </x:c>
      <x:c r="B17" s="43" t="n">
        <x:f>SUM('Monthly Cash Flow'!B14:M14)+SUM('Monthly Cash Flow'!B24:M24)</x:f>
        <x:v>6600</x:v>
      </x:c>
      <x:c r="C17" s="77" t="n">
        <x:f>B17/$B$4</x:f>
        <x:v>0.05959637003927942</x:v>
      </x:c>
      <x:c r="D17" s="40" t="str">
        <x:v>Groceries plus dining out</x:v>
      </x:c>
    </x:row>
    <x:row r="18">
      <x:c r="A18" s="40" t="str">
        <x:v>Transportation</x:v>
      </x:c>
      <x:c r="B18" s="43" t="n">
        <x:f>SUM('Monthly Cash Flow'!B15:M15)+SUM('Monthly Cash Flow'!B39:M39)</x:f>
        <x:v>9020</x:v>
      </x:c>
      <x:c r="C18" s="77" t="n">
        <x:f>B18/$B$4</x:f>
        <x:v>0.08144837238701522</x:v>
      </x:c>
      <x:c r="D18" s="40" t="str">
        <x:v>Operating costs plus car loan</x:v>
      </x:c>
    </x:row>
    <x:row r="19">
      <x:c r="A19" s="40" t="str">
        <x:v>Childcare / School</x:v>
      </x:c>
      <x:c r="B19" s="43" t="n">
        <x:f>SUM('Monthly Cash Flow'!B17:M17)</x:f>
        <x:v>3720</x:v>
      </x:c>
      <x:c r="C19" s="77" t="n">
        <x:f>B19/$B$4</x:f>
        <x:v>0.03359068129486659</x:v>
      </x:c>
      <x:c r="D19" s="40" t="str">
        <x:v>Childcare and school-related costs</x:v>
      </x:c>
    </x:row>
    <x:row r="20">
      <x:c r="A20" s="40" t="str">
        <x:v>Healthcare &amp; Insurance</x:v>
      </x:c>
      <x:c r="B20" s="43" t="n">
        <x:f>SUM('Monthly Cash Flow'!B16:M16)+SUM('Monthly Cash Flow'!B18:M18)</x:f>
        <x:v>13180</x:v>
      </x:c>
      <x:c r="C20" s="77" t="n">
        <x:f>B20/$B$4</x:f>
        <x:v>0.11901214501783376</x:v>
      </x:c>
      <x:c r="D20" s="40" t="str">
        <x:v>Insurance and medical</x:v>
      </x:c>
    </x:row>
    <x:row r="21">
      <x:c r="A21" s="40" t="str">
        <x:v>Lifestyle / Discretionary</x:v>
      </x:c>
      <x:c r="B21" s="43" t="n">
        <x:f>'Monthly Cash Flow'!N31</x:f>
        <x:v>15245</x:v>
      </x:c>
      <x:c r="C21" s="77" t="n">
        <x:f>B21/$B$4</x:f>
        <x:v>0.13765858503769923</x:v>
      </x:c>
      <x:c r="D21" s="40" t="str">
        <x:v>Dining, travel, entertainment, etc.</x:v>
      </x:c>
    </x:row>
    <x:row r="22">
      <x:c r="A22" s="40" t="str">
        <x:v>Savings &amp; Investments</x:v>
      </x:c>
      <x:c r="B22" s="43" t="n">
        <x:f>SUM('Monthly Cash Flow'!B34:M36)</x:f>
        <x:v>15000</x:v>
      </x:c>
      <x:c r="C22" s="77" t="n">
        <x:f>B22/$B$4</x:f>
        <x:v>0.13544629554381687</x:v>
      </x:c>
      <x:c r="D22" s="40" t="str">
        <x:v>Retirement, education, emergency fund</x:v>
      </x:c>
    </x:row>
    <x:row r="23">
      <x:c r="A23" s="40" t="str">
        <x:v>Extra Debt Paydown</x:v>
      </x:c>
      <x:c r="B23" s="43" t="n">
        <x:f>SUM('Monthly Cash Flow'!B37:M39)</x:f>
        <x:v>7340</x:v>
      </x:c>
      <x:c r="C23" s="77" t="n">
        <x:f>B23/$B$4</x:f>
        <x:v>0.06627838728610773</x:v>
      </x:c>
      <x:c r="D23" s="40" t="str">
        <x:v>Extra mortgage principal and car loan</x:v>
      </x:c>
    </x:row>
  </x:sheetData>
  <x:mergeCells>
    <x:mergeCell ref="A1:H1"/>
  </x:mergeCells>
  <x:conditionalFormatting sqref="D4:D12">
    <x:cfRule type="expression" dxfId="2" priority="1">
      <x:formula>OR(D4="On Track",D4="Healthy",D4="Achieved")</x:formula>
    </x:cfRule>
  </x:conditionalFormatting>
  <x:pageMargins left="0.7" right="0.7" top="0.75" bottom="0.75" header="0.3" footer="0.3"/>
  <x:drawing xmlns:r="http://schemas.openxmlformats.org/officeDocument/2006/relationships" r:id="R6c161a2d114a42d8"/>
</x:worksheet>
</file>

<file path=xl/worksheets/sheet3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6" hidden="0" customWidth="1"/>
    <x:col min="3" max="3" width="15" hidden="0" customWidth="1"/>
    <x:col min="4" max="4" width="3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36" t="str">
        <x:v>Household Balance Sheet, Debt Schedule &amp; Financial Goals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37" t="str">
        <x:v>Assumption</x:v>
      </x:c>
      <x:c r="B3" s="37" t="str">
        <x:v>Value</x:v>
      </x:c>
      <x:c r="C3" s="37" t="str">
        <x:v>Unit</x:v>
      </x:c>
      <x:c r="D3" s="37" t="str">
        <x:v>Description</x:v>
      </x:c>
      <x:c r="E3" s="40"/>
      <x:c r="F3" s="37" t="str">
        <x:v>Month</x:v>
      </x:c>
      <x:c r="G3" s="37" t="str">
        <x:v>Cash</x:v>
      </x:c>
      <x:c r="H3" s="37" t="str">
        <x:v>Retirement</x:v>
      </x:c>
      <x:c r="I3" s="37" t="str">
        <x:v>Education</x:v>
      </x:c>
      <x:c r="J3" s="37" t="str">
        <x:v>Mortgage Debt</x:v>
      </x:c>
      <x:c r="K3" s="37" t="str">
        <x:v>Car Debt</x:v>
      </x:c>
      <x:c r="L3" s="37" t="str">
        <x:v>Net Worth</x:v>
      </x:c>
      <x:c r="M3" s="37" t="str">
        <x:v>Goal</x:v>
      </x:c>
      <x:c r="N3" s="37" t="str">
        <x:v>Variance</x:v>
      </x:c>
    </x:row>
    <x:row r="4">
      <x:c r="A4" s="40" t="str">
        <x:v>Home Market Value</x:v>
      </x:c>
      <x:c r="B4" s="41" t="n">
        <x:v>420000</x:v>
      </x:c>
      <x:c r="C4" s="40" t="str">
        <x:v>$</x:v>
      </x:c>
      <x:c r="D4" s="40" t="str">
        <x:v>Estimated year-end market value</x:v>
      </x:c>
      <x:c r="E4" s="40"/>
      <x:c r="F4" s="40" t="str">
        <x:v>Jan</x:v>
      </x:c>
      <x:c r="G4" s="70" t="n">
        <x:f>'Monthly Cash Flow'!B45</x:f>
        <x:v>12975</x:v>
      </x:c>
      <x:c r="H4" s="70" t="n">
        <x:f>$B$9*(1+$B$13*(1/12))+SUM('Monthly Cash Flow'!$B$34:B$34)</x:f>
        <x:v>87179.99999999999</x:v>
      </x:c>
      <x:c r="I4" s="70" t="n">
        <x:f>$B$11*(1+$B$13*(1/12))+SUM('Monthly Cash Flow'!$B$35:B$35)</x:f>
        <x:v>12309.999999999998</x:v>
      </x:c>
      <x:c r="J4" s="70" t="n">
        <x:f>$B$5-SUM('Monthly Cash Flow'!$B$37:B$37)-(1850*1*0.45)</x:f>
        <x:v>313967.5</x:v>
      </x:c>
      <x:c r="K4" s="70" t="n">
        <x:f>MAX(0,$B$7-(420*1*0.80))</x:f>
        <x:v>13864</x:v>
      </x:c>
      <x:c r="L4" s="70" t="n">
        <x:f>G4+H4+I4+$B$4-J4-K4+$B$10*(1+$B$13*(1/12))</x:f>
        <x:v>228753.5</x:v>
      </x:c>
      <x:c r="M4" s="41" t="n">
        <x:f>120000+(1*3500)</x:f>
        <x:v>123500</x:v>
      </x:c>
      <x:c r="N4" s="70" t="n">
        <x:f>L4-M4</x:f>
        <x:v>105253.5</x:v>
      </x:c>
    </x:row>
    <x:row r="5">
      <x:c r="A5" s="40" t="str">
        <x:v>Mortgage Balance - Start</x:v>
      </x:c>
      <x:c r="B5" s="41" t="n">
        <x:v>315000</x:v>
      </x:c>
      <x:c r="C5" s="40" t="str">
        <x:v>$</x:v>
      </x:c>
      <x:c r="D5" s="40" t="str">
        <x:v>Opening principal balance</x:v>
      </x:c>
      <x:c r="E5" s="40"/>
      <x:c r="F5" s="40" t="str">
        <x:v>Feb</x:v>
      </x:c>
      <x:c r="G5" s="70" t="n">
        <x:f>'Monthly Cash Flow'!C45</x:f>
        <x:v>14240</x:v>
      </x:c>
      <x:c r="H5" s="70" t="n">
        <x:f>$B$9*(1+$B$13*(2/12))+SUM('Monthly Cash Flow'!$B$34:C$34)</x:f>
        <x:v>88360</x:v>
      </x:c>
      <x:c r="I5" s="70" t="n">
        <x:f>$B$11*(1+$B$13*(2/12))+SUM('Monthly Cash Flow'!$B$35:C$35)</x:f>
        <x:v>12620</x:v>
      </x:c>
      <x:c r="J5" s="70" t="n">
        <x:f>$B$5-SUM('Monthly Cash Flow'!$B$37:C$37)-(1850*2*0.45)</x:f>
        <x:v>312935</x:v>
      </x:c>
      <x:c r="K5" s="70" t="n">
        <x:f>MAX(0,$B$7-(420*2*0.80))</x:f>
        <x:v>13528</x:v>
      </x:c>
      <x:c r="L5" s="70" t="n">
        <x:f>G5+H5+I5+$B$4-J5-K5+$B$10*(1+$B$13*(2/12))</x:f>
        <x:v>232997</x:v>
      </x:c>
      <x:c r="M5" s="41" t="n">
        <x:f>120000+(2*3500)</x:f>
        <x:v>127000</x:v>
      </x:c>
      <x:c r="N5" s="70" t="n">
        <x:f>L5-M5</x:f>
        <x:v>105997</x:v>
      </x:c>
    </x:row>
    <x:row r="6">
      <x:c r="A6" s="40" t="str">
        <x:v>Mortgage Interest Rate</x:v>
      </x:c>
      <x:c r="B6" s="72" t="n">
        <x:v>0.045</x:v>
      </x:c>
      <x:c r="C6" s="40" t="str">
        <x:v>%</x:v>
      </x:c>
      <x:c r="D6" s="40" t="str">
        <x:v>Nominal annual rate</x:v>
      </x:c>
      <x:c r="E6" s="40"/>
      <x:c r="F6" s="40" t="str">
        <x:v>Mar</x:v>
      </x:c>
      <x:c r="G6" s="70" t="n">
        <x:f>'Monthly Cash Flow'!D45</x:f>
        <x:v>14825</x:v>
      </x:c>
      <x:c r="H6" s="70" t="n">
        <x:f>$B$9*(1+$B$13*(3/12))+SUM('Monthly Cash Flow'!$B$34:D$34)</x:f>
        <x:v>89539.99999999999</x:v>
      </x:c>
      <x:c r="I6" s="70" t="n">
        <x:f>$B$11*(1+$B$13*(3/12))+SUM('Monthly Cash Flow'!$B$35:D$35)</x:f>
        <x:v>12929.999999999998</x:v>
      </x:c>
      <x:c r="J6" s="70" t="n">
        <x:f>$B$5-SUM('Monthly Cash Flow'!$B$37:D$37)-(1850*3*0.45)</x:f>
        <x:v>311902.5</x:v>
      </x:c>
      <x:c r="K6" s="70" t="n">
        <x:f>MAX(0,$B$7-(420*3*0.80))</x:f>
        <x:v>13192</x:v>
      </x:c>
      <x:c r="L6" s="70" t="n">
        <x:f>G6+H6+I6+$B$4-J6-K6+$B$10*(1+$B$13*(3/12))</x:f>
        <x:v>236560.5</x:v>
      </x:c>
      <x:c r="M6" s="41" t="n">
        <x:f>120000+(3*3500)</x:f>
        <x:v>130500</x:v>
      </x:c>
      <x:c r="N6" s="70" t="n">
        <x:f>L6-M6</x:f>
        <x:v>106060.5</x:v>
      </x:c>
    </x:row>
    <x:row r="7">
      <x:c r="A7" s="40" t="str">
        <x:v>Car Loan Balance - Start</x:v>
      </x:c>
      <x:c r="B7" s="41" t="n">
        <x:v>14200</x:v>
      </x:c>
      <x:c r="C7" s="40" t="str">
        <x:v>$</x:v>
      </x:c>
      <x:c r="D7" s="40" t="str">
        <x:v>Opening principal balance</x:v>
      </x:c>
      <x:c r="E7" s="40"/>
      <x:c r="F7" s="40" t="str">
        <x:v>Apr</x:v>
      </x:c>
      <x:c r="G7" s="70" t="n">
        <x:f>'Monthly Cash Flow'!E45</x:f>
        <x:v>15970</x:v>
      </x:c>
      <x:c r="H7" s="70" t="n">
        <x:f>$B$9*(1+$B$13*(4/12))+SUM('Monthly Cash Flow'!$B$34:E$34)</x:f>
        <x:v>90720</x:v>
      </x:c>
      <x:c r="I7" s="70" t="n">
        <x:f>$B$11*(1+$B$13*(4/12))+SUM('Monthly Cash Flow'!$B$35:E$35)</x:f>
        <x:v>13240</x:v>
      </x:c>
      <x:c r="J7" s="70" t="n">
        <x:f>$B$5-SUM('Monthly Cash Flow'!$B$37:E$37)-(1850*4*0.45)</x:f>
        <x:v>310870</x:v>
      </x:c>
      <x:c r="K7" s="70" t="n">
        <x:f>MAX(0,$B$7-(420*4*0.80))</x:f>
        <x:v>12856</x:v>
      </x:c>
      <x:c r="L7" s="70" t="n">
        <x:f>G7+H7+I7+$B$4-J7-K7+$B$10*(1+$B$13*(4/12))</x:f>
        <x:v>240684</x:v>
      </x:c>
      <x:c r="M7" s="41" t="n">
        <x:f>120000+(4*3500)</x:f>
        <x:v>134000</x:v>
      </x:c>
      <x:c r="N7" s="70" t="n">
        <x:f>L7-M7</x:f>
        <x:v>106684</x:v>
      </x:c>
    </x:row>
    <x:row r="8">
      <x:c r="A8" s="40" t="str">
        <x:v>Car Loan Interest Rate</x:v>
      </x:c>
      <x:c r="B8" s="72" t="n">
        <x:v>0.059</x:v>
      </x:c>
      <x:c r="C8" s="40" t="str">
        <x:v>%</x:v>
      </x:c>
      <x:c r="D8" s="40" t="str">
        <x:v>Nominal annual rate</x:v>
      </x:c>
      <x:c r="E8" s="40"/>
      <x:c r="F8" s="40" t="str">
        <x:v>May</x:v>
      </x:c>
      <x:c r="G8" s="70" t="n">
        <x:f>'Monthly Cash Flow'!F45</x:f>
        <x:v>16830</x:v>
      </x:c>
      <x:c r="H8" s="70" t="n">
        <x:f>$B$9*(1+$B$13*(5/12))+SUM('Monthly Cash Flow'!$B$34:F$34)</x:f>
        <x:v>91899.99999999999</x:v>
      </x:c>
      <x:c r="I8" s="70" t="n">
        <x:f>$B$11*(1+$B$13*(5/12))+SUM('Monthly Cash Flow'!$B$35:F$35)</x:f>
        <x:v>13549.999999999998</x:v>
      </x:c>
      <x:c r="J8" s="70" t="n">
        <x:f>$B$5-SUM('Monthly Cash Flow'!$B$37:F$37)-(1850*5*0.45)</x:f>
        <x:v>309837.5</x:v>
      </x:c>
      <x:c r="K8" s="70" t="n">
        <x:f>MAX(0,$B$7-(420*5*0.80))</x:f>
        <x:v>12520</x:v>
      </x:c>
      <x:c r="L8" s="70" t="n">
        <x:f>G8+H8+I8+$B$4-J8-K8+$B$10*(1+$B$13*(5/12))</x:f>
        <x:v>244522.5</x:v>
      </x:c>
      <x:c r="M8" s="41" t="n">
        <x:f>120000+(5*3500)</x:f>
        <x:v>137500</x:v>
      </x:c>
      <x:c r="N8" s="70" t="n">
        <x:f>L8-M8</x:f>
        <x:v>107022.5</x:v>
      </x:c>
    </x:row>
    <x:row r="9">
      <x:c r="A9" s="40" t="str">
        <x:v>Retirement Account - Start</x:v>
      </x:c>
      <x:c r="B9" s="41" t="n">
        <x:v>86000</x:v>
      </x:c>
      <x:c r="C9" s="40" t="str">
        <x:v>$</x:v>
      </x:c>
      <x:c r="D9" s="40" t="str">
        <x:v>Opening investment balance</x:v>
      </x:c>
      <x:c r="E9" s="40"/>
      <x:c r="F9" s="40" t="str">
        <x:v>Jun</x:v>
      </x:c>
      <x:c r="G9" s="70" t="n">
        <x:f>'Monthly Cash Flow'!G45</x:f>
        <x:v>19140</x:v>
      </x:c>
      <x:c r="H9" s="70" t="n">
        <x:f>$B$9*(1+$B$13*(6/12))+SUM('Monthly Cash Flow'!$B$34:G$34)</x:f>
        <x:v>93080</x:v>
      </x:c>
      <x:c r="I9" s="70" t="n">
        <x:f>$B$11*(1+$B$13*(6/12))+SUM('Monthly Cash Flow'!$B$35:G$35)</x:f>
        <x:v>13860</x:v>
      </x:c>
      <x:c r="J9" s="70" t="n">
        <x:f>$B$5-SUM('Monthly Cash Flow'!$B$37:G$37)-(1850*6*0.45)</x:f>
        <x:v>308805</x:v>
      </x:c>
      <x:c r="K9" s="70" t="n">
        <x:f>MAX(0,$B$7-(420*6*0.80))</x:f>
        <x:v>12184</x:v>
      </x:c>
      <x:c r="L9" s="70" t="n">
        <x:f>G9+H9+I9+$B$4-J9-K9+$B$10*(1+$B$13*(6/12))</x:f>
        <x:v>249811</x:v>
      </x:c>
      <x:c r="M9" s="41" t="n">
        <x:f>120000+(6*3500)</x:f>
        <x:v>141000</x:v>
      </x:c>
      <x:c r="N9" s="70" t="n">
        <x:f>L9-M9</x:f>
        <x:v>108811</x:v>
      </x:c>
    </x:row>
    <x:row r="10">
      <x:c r="A10" s="40" t="str">
        <x:v>Brokerage Account - Start</x:v>
      </x:c>
      <x:c r="B10" s="41" t="n">
        <x:v>24000</x:v>
      </x:c>
      <x:c r="C10" s="40" t="str">
        <x:v>$</x:v>
      </x:c>
      <x:c r="D10" s="40" t="str">
        <x:v>Opening investment balance</x:v>
      </x:c>
      <x:c r="E10" s="40"/>
      <x:c r="F10" s="40" t="str">
        <x:v>Jul</x:v>
      </x:c>
      <x:c r="G10" s="70" t="n">
        <x:f>'Monthly Cash Flow'!H45</x:f>
        <x:v>19915</x:v>
      </x:c>
      <x:c r="H10" s="70" t="n">
        <x:f>$B$9*(1+$B$13*(7/12))+SUM('Monthly Cash Flow'!$B$34:H$34)</x:f>
        <x:v>94260</x:v>
      </x:c>
      <x:c r="I10" s="70" t="n">
        <x:f>$B$11*(1+$B$13*(7/12))+SUM('Monthly Cash Flow'!$B$35:H$35)</x:f>
        <x:v>14169.999999999998</x:v>
      </x:c>
      <x:c r="J10" s="70" t="n">
        <x:f>$B$5-SUM('Monthly Cash Flow'!$B$37:H$37)-(1850*7*0.45)</x:f>
        <x:v>307972.5</x:v>
      </x:c>
      <x:c r="K10" s="70" t="n">
        <x:f>MAX(0,$B$7-(420*7*0.80))</x:f>
        <x:v>11848</x:v>
      </x:c>
      <x:c r="L10" s="70" t="n">
        <x:f>G10+H10+I10+$B$4-J10-K10+$B$10*(1+$B$13*(7/12))</x:f>
        <x:v>253364.5</x:v>
      </x:c>
      <x:c r="M10" s="41" t="n">
        <x:f>120000+(7*3500)</x:f>
        <x:v>144500</x:v>
      </x:c>
      <x:c r="N10" s="70" t="n">
        <x:f>L10-M10</x:f>
        <x:v>108864.5</x:v>
      </x:c>
    </x:row>
    <x:row r="11">
      <x:c r="A11" s="40" t="str">
        <x:v>Education Fund - Start</x:v>
      </x:c>
      <x:c r="B11" s="41" t="n">
        <x:v>12000</x:v>
      </x:c>
      <x:c r="C11" s="40" t="str">
        <x:v>$</x:v>
      </x:c>
      <x:c r="D11" s="40" t="str">
        <x:v>Opening investment balance</x:v>
      </x:c>
      <x:c r="E11" s="40"/>
      <x:c r="F11" s="40" t="str">
        <x:v>Aug</x:v>
      </x:c>
      <x:c r="G11" s="70" t="n">
        <x:f>'Monthly Cash Flow'!I45</x:f>
        <x:v>20940</x:v>
      </x:c>
      <x:c r="H11" s="70" t="n">
        <x:f>$B$9*(1+$B$13*(8/12))+SUM('Monthly Cash Flow'!$B$34:I$34)</x:f>
        <x:v>95440</x:v>
      </x:c>
      <x:c r="I11" s="70" t="n">
        <x:f>$B$11*(1+$B$13*(8/12))+SUM('Monthly Cash Flow'!$B$35:I$35)</x:f>
        <x:v>14480</x:v>
      </x:c>
      <x:c r="J11" s="70" t="n">
        <x:f>$B$5-SUM('Monthly Cash Flow'!$B$37:I$37)-(1850*8*0.45)</x:f>
        <x:v>307140</x:v>
      </x:c>
      <x:c r="K11" s="70" t="n">
        <x:f>MAX(0,$B$7-(420*8*0.80))</x:f>
        <x:v>11512</x:v>
      </x:c>
      <x:c r="L11" s="70" t="n">
        <x:f>G11+H11+I11+$B$4-J11-K11+$B$10*(1+$B$13*(8/12))</x:f>
        <x:v>257168</x:v>
      </x:c>
      <x:c r="M11" s="41" t="n">
        <x:f>120000+(8*3500)</x:f>
        <x:v>148000</x:v>
      </x:c>
      <x:c r="N11" s="70" t="n">
        <x:f>L11-M11</x:f>
        <x:v>109168</x:v>
      </x:c>
    </x:row>
    <x:row r="12">
      <x:c r="A12" s="40" t="str">
        <x:v>Cash / Emergency Fund - Start</x:v>
      </x:c>
      <x:c r="B12" s="41" t="n">
        <x:v>12000</x:v>
      </x:c>
      <x:c r="C12" s="40" t="str">
        <x:v>$</x:v>
      </x:c>
      <x:c r="D12" s="40" t="str">
        <x:v>Opening cash balance</x:v>
      </x:c>
      <x:c r="E12" s="40"/>
      <x:c r="F12" s="40" t="str">
        <x:v>Sep</x:v>
      </x:c>
      <x:c r="G12" s="70" t="n">
        <x:f>'Monthly Cash Flow'!J45</x:f>
        <x:v>21825</x:v>
      </x:c>
      <x:c r="H12" s="70" t="n">
        <x:f>$B$9*(1+$B$13*(9/12))+SUM('Monthly Cash Flow'!$B$34:J$34)</x:f>
        <x:v>96620</x:v>
      </x:c>
      <x:c r="I12" s="70" t="n">
        <x:f>$B$11*(1+$B$13*(9/12))+SUM('Monthly Cash Flow'!$B$35:J$35)</x:f>
        <x:v>14790</x:v>
      </x:c>
      <x:c r="J12" s="70" t="n">
        <x:f>$B$5-SUM('Monthly Cash Flow'!$B$37:J$37)-(1850*9*0.45)</x:f>
        <x:v>306107.5</x:v>
      </x:c>
      <x:c r="K12" s="70" t="n">
        <x:f>MAX(0,$B$7-(420*9*0.80))</x:f>
        <x:v>11176</x:v>
      </x:c>
      <x:c r="L12" s="70" t="n">
        <x:f>G12+H12+I12+$B$4-J12-K12+$B$10*(1+$B$13*(9/12))</x:f>
        <x:v>261031.5</x:v>
      </x:c>
      <x:c r="M12" s="41" t="n">
        <x:f>120000+(9*3500)</x:f>
        <x:v>151500</x:v>
      </x:c>
      <x:c r="N12" s="70" t="n">
        <x:f>L12-M12</x:f>
        <x:v>109531.5</x:v>
      </x:c>
    </x:row>
    <x:row r="13">
      <x:c r="A13" s="40" t="str">
        <x:v>Investment Growth Assumption</x:v>
      </x:c>
      <x:c r="B13" s="72" t="n">
        <x:v>0.06</x:v>
      </x:c>
      <x:c r="C13" s="40" t="str">
        <x:v>%</x:v>
      </x:c>
      <x:c r="D13" s="40" t="str">
        <x:v>Simplified annual return assumption</x:v>
      </x:c>
      <x:c r="E13" s="40"/>
      <x:c r="F13" s="40" t="str">
        <x:v>Oct</x:v>
      </x:c>
      <x:c r="G13" s="70" t="n">
        <x:f>'Monthly Cash Flow'!K45</x:f>
        <x:v>22905</x:v>
      </x:c>
      <x:c r="H13" s="70" t="n">
        <x:f>$B$9*(1+$B$13*(10/12))+SUM('Monthly Cash Flow'!$B$34:K$34)</x:f>
        <x:v>97800</x:v>
      </x:c>
      <x:c r="I13" s="70" t="n">
        <x:f>$B$11*(1+$B$13*(10/12))+SUM('Monthly Cash Flow'!$B$35:K$35)</x:f>
        <x:v>15100</x:v>
      </x:c>
      <x:c r="J13" s="70" t="n">
        <x:f>$B$5-SUM('Monthly Cash Flow'!$B$37:K$37)-(1850*10*0.45)</x:f>
        <x:v>305075</x:v>
      </x:c>
      <x:c r="K13" s="70" t="n">
        <x:f>MAX(0,$B$7-(420*10*0.80))</x:f>
        <x:v>10840</x:v>
      </x:c>
      <x:c r="L13" s="70" t="n">
        <x:f>G13+H13+I13+$B$4-J13-K13+$B$10*(1+$B$13*(10/12))</x:f>
        <x:v>265090</x:v>
      </x:c>
      <x:c r="M13" s="41" t="n">
        <x:f>120000+(10*3500)</x:f>
        <x:v>155000</x:v>
      </x:c>
      <x:c r="N13" s="70" t="n">
        <x:f>L13-M13</x:f>
        <x:v>110090</x:v>
      </x:c>
    </x:row>
    <x:row r="14">
      <x:c r="A14" s="40"/>
      <x:c r="B14" s="40"/>
      <x:c r="C14" s="40"/>
      <x:c r="D14" s="40"/>
      <x:c r="E14" s="40"/>
      <x:c r="F14" s="40" t="str">
        <x:v>Nov</x:v>
      </x:c>
      <x:c r="G14" s="70" t="n">
        <x:f>'Monthly Cash Flow'!L45</x:f>
        <x:v>23765</x:v>
      </x:c>
      <x:c r="H14" s="70" t="n">
        <x:f>$B$9*(1+$B$13*(11/12))+SUM('Monthly Cash Flow'!$B$34:L$34)</x:f>
        <x:v>98980</x:v>
      </x:c>
      <x:c r="I14" s="70" t="n">
        <x:f>$B$11*(1+$B$13*(11/12))+SUM('Monthly Cash Flow'!$B$35:L$35)</x:f>
        <x:v>15410</x:v>
      </x:c>
      <x:c r="J14" s="70" t="n">
        <x:f>$B$5-SUM('Monthly Cash Flow'!$B$37:L$37)-(1850*11*0.45)</x:f>
        <x:v>304042.5</x:v>
      </x:c>
      <x:c r="K14" s="70" t="n">
        <x:f>MAX(0,$B$7-(420*11*0.80))</x:f>
        <x:v>10504</x:v>
      </x:c>
      <x:c r="L14" s="70" t="n">
        <x:f>G14+H14+I14+$B$4-J14-K14+$B$10*(1+$B$13*(11/12))</x:f>
        <x:v>268928.5</x:v>
      </x:c>
      <x:c r="M14" s="41" t="n">
        <x:f>120000+(11*3500)</x:f>
        <x:v>158500</x:v>
      </x:c>
      <x:c r="N14" s="70" t="n">
        <x:f>L14-M14</x:f>
        <x:v>110428.5</x:v>
      </x:c>
    </x:row>
    <x:row r="15">
      <x:c r="A15" s="37" t="str">
        <x:v>Year-End Balance Sheet</x:v>
      </x:c>
      <x:c r="B15" s="37" t="str">
        <x:v>Amount</x:v>
      </x:c>
      <x:c r="C15" s="37" t="str">
        <x:v>Calculation</x:v>
      </x:c>
      <x:c r="D15" s="40"/>
      <x:c r="E15" s="40"/>
      <x:c r="F15" s="40" t="str">
        <x:v>Dec</x:v>
      </x:c>
      <x:c r="G15" s="70" t="n">
        <x:f>'Monthly Cash Flow'!M45</x:f>
        <x:v>25860</x:v>
      </x:c>
      <x:c r="H15" s="70" t="n">
        <x:f>$B$9*(1+$B$13*(12/12))+SUM('Monthly Cash Flow'!$B$34:M$34)</x:f>
        <x:v>100160</x:v>
      </x:c>
      <x:c r="I15" s="70" t="n">
        <x:f>$B$11*(1+$B$13*(12/12))+SUM('Monthly Cash Flow'!$B$35:M$35)</x:f>
        <x:v>15720</x:v>
      </x:c>
      <x:c r="J15" s="70" t="n">
        <x:f>$B$5-SUM('Monthly Cash Flow'!$B$37:M$37)-(1850*12*0.45)</x:f>
        <x:v>302710</x:v>
      </x:c>
      <x:c r="K15" s="70" t="n">
        <x:f>MAX(0,$B$7-(420*12*0.80))</x:f>
        <x:v>10168</x:v>
      </x:c>
      <x:c r="L15" s="70" t="n">
        <x:f>G15+H15+I15+$B$4-J15-K15+$B$10*(1+$B$13*(12/12))</x:f>
        <x:v>274302</x:v>
      </x:c>
      <x:c r="M15" s="41" t="n">
        <x:f>120000+(12*3500)</x:f>
        <x:v>162000</x:v>
      </x:c>
      <x:c r="N15" s="70" t="n">
        <x:f>L15-M15</x:f>
        <x:v>112302</x:v>
      </x:c>
    </x:row>
    <x:row r="16">
      <x:c r="A16" s="40" t="str">
        <x:v>Cash &amp; Emergency Fund</x:v>
      </x:c>
      <x:c r="B16" s="70" t="n">
        <x:f>'Monthly Cash Flow'!N45</x:f>
        <x:v>25860</x:v>
      </x:c>
      <x:c r="C16" s="40" t="str">
        <x:v>Ending cash from monthly cash flow</x:v>
      </x:c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</x:row>
    <x:row r="17">
      <x:c r="A17" s="40" t="str">
        <x:v>Retirement Accounts</x:v>
      </x:c>
      <x:c r="B17" s="70" t="n">
        <x:f>B9*(1+B13)+SUM('Monthly Cash Flow'!B34:M34)</x:f>
        <x:v>100160</x:v>
      </x:c>
      <x:c r="C17" s="40" t="str">
        <x:v>Start balance + growth + contributions</x:v>
      </x:c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</x:row>
    <x:row r="18">
      <x:c r="A18" s="40" t="str">
        <x:v>Brokerage Account</x:v>
      </x:c>
      <x:c r="B18" s="70" t="n">
        <x:f>B10*(1+B13)</x:f>
        <x:v>25440</x:v>
      </x:c>
      <x:c r="C18" s="40" t="str">
        <x:v>Start balance + assumed growth</x:v>
      </x:c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</x:row>
    <x:row r="19">
      <x:c r="A19" s="40" t="str">
        <x:v>Education Fund</x:v>
      </x:c>
      <x:c r="B19" s="70" t="n">
        <x:f>B11*(1+B13)+SUM('Monthly Cash Flow'!B35:M35)</x:f>
        <x:v>15720</x:v>
      </x:c>
      <x:c r="C19" s="40" t="str">
        <x:v>Start balance + growth + contributions</x:v>
      </x:c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</x:row>
    <x:row r="20">
      <x:c r="A20" s="40" t="str">
        <x:v>Home Value</x:v>
      </x:c>
      <x:c r="B20" s="70" t="n">
        <x:f>B4</x:f>
        <x:v>420000</x:v>
      </x:c>
      <x:c r="C20" s="40" t="str">
        <x:v>Assumed year-end market value</x:v>
      </x:c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</x:row>
    <x:row r="21">
      <x:c r="A21" s="40" t="str">
        <x:v>Total Assets</x:v>
      </x:c>
      <x:c r="B21" s="70" t="n">
        <x:f>SUM(B16:B20)</x:f>
        <x:v>587180</x:v>
      </x:c>
      <x:c r="C21" s="40" t="str">
        <x:v>Sum of assets</x:v>
      </x:c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</x:row>
    <x:row r="22">
      <x:c r="A22" s="40" t="str">
        <x:v>Mortgage Balance</x:v>
      </x:c>
      <x:c r="B22" s="70" t="n">
        <x:f>B5-SUM('Monthly Cash Flow'!B37:M37)-(1850*12*0.45)</x:f>
        <x:v>302710</x:v>
      </x:c>
      <x:c r="C22" s="40" t="str">
        <x:v>Simplified principal reduction estimate</x:v>
      </x:c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</x:row>
    <x:row r="23">
      <x:c r="A23" s="40" t="str">
        <x:v>Car Loan Balance</x:v>
      </x:c>
      <x:c r="B23" s="70" t="n">
        <x:f>MAX(0,B7-(420*12*0.80))</x:f>
        <x:v>10168</x:v>
      </x:c>
      <x:c r="C23" s="40" t="str">
        <x:v>Simplified principal reduction estimate</x:v>
      </x:c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</x:row>
    <x:row r="24">
      <x:c r="A24" s="40" t="str">
        <x:v>Total Liabilities</x:v>
      </x:c>
      <x:c r="B24" s="70" t="n">
        <x:f>SUM(B22:B23)</x:f>
        <x:v>312878</x:v>
      </x:c>
      <x:c r="C24" s="40" t="str">
        <x:v>Sum of liabilities</x:v>
      </x:c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</x:row>
    <x:row r="25">
      <x:c r="A25" s="40" t="str">
        <x:v>Net Worth</x:v>
      </x:c>
      <x:c r="B25" s="70" t="n">
        <x:f>B21-B24</x:f>
        <x:v>274302</x:v>
      </x:c>
      <x:c r="C25" s="40" t="str">
        <x:v>Assets less liabilities</x:v>
      </x:c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</x:row>
    <x:row r="28">
      <x:c r="A28" s="37" t="str">
        <x:v>Financial Goal</x:v>
      </x:c>
      <x:c r="B28" s="37" t="str">
        <x:v>Target</x:v>
      </x:c>
      <x:c r="C28" s="37" t="str">
        <x:v>Current / Projected</x:v>
      </x:c>
      <x:c r="D28" s="37" t="str">
        <x:v>Status</x:v>
      </x:c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</x:row>
    <x:row r="29">
      <x:c r="A29" s="40" t="str">
        <x:v>Maintain 6 months of essential expenses</x:v>
      </x:c>
      <x:c r="B29" s="43" t="n">
        <x:f>('Monthly Cash Flow'!N21/12)*6</x:f>
        <x:v>29650</x:v>
      </x:c>
      <x:c r="C29" s="43" t="n">
        <x:f>B16</x:f>
        <x:v>25860</x:v>
      </x:c>
      <x:c r="D29" s="40" t="str">
        <x:f>IF(C29&gt;=B29,"On Track","Needs Attention")</x:f>
        <x:v>Needs Attention</x:v>
      </x:c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</x:row>
    <x:row r="30">
      <x:c r="A30" s="40" t="str">
        <x:v>Reach $150,000 net worth</x:v>
      </x:c>
      <x:c r="B30" s="41" t="n">
        <x:v>150000</x:v>
      </x:c>
      <x:c r="C30" s="43" t="n">
        <x:f>B25</x:f>
        <x:v>274302</x:v>
      </x:c>
      <x:c r="D30" s="40" t="str">
        <x:f>IF(C30&gt;=B30,"Achieved","In Progress")</x:f>
        <x:v>Achieved</x:v>
      </x:c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</x:row>
    <x:row r="31">
      <x:c r="A31" s="40" t="str">
        <x:v>Keep discretionary spending below 12% of income</x:v>
      </x:c>
      <x:c r="B31" s="72" t="n">
        <x:v>0.12</x:v>
      </x:c>
      <x:c r="C31" s="77" t="n">
        <x:f>'Monthly Cash Flow'!N31/'Monthly Cash Flow'!N9</x:f>
        <x:v>0.13765858503769923</x:v>
      </x:c>
      <x:c r="D31" s="40" t="str">
        <x:f>IF(C31&lt;=B31,"On Track","Above Target")</x:f>
        <x:v>Above Target</x:v>
      </x:c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</x:row>
    <x:row r="32">
      <x:c r="A32" s="40" t="str">
        <x:v>Save at least 20% of gross household income</x:v>
      </x:c>
      <x:c r="B32" s="72" t="n">
        <x:v>0.2</x:v>
      </x:c>
      <x:c r="C32" s="77" t="n">
        <x:f>'Monthly Cash Flow'!N40/'Monthly Cash Flow'!N9</x:f>
        <x:v>0.2017246828299246</x:v>
      </x:c>
      <x:c r="D32" s="40" t="str">
        <x:f>IF(C32&gt;=B32,"On Track","Below Target")</x:f>
        <x:v>On Track</x:v>
      </x:c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</x:row>
  </x:sheetData>
  <x:mergeCells>
    <x:mergeCell ref="A1:N1"/>
  </x:mergeCells>
  <x:conditionalFormatting sqref="D29:D32">
    <x:cfRule type="expression" dxfId="3" priority="1">
      <x:formula>OR(D29="On Track",D29="Healthy",D29="Achieved")</x:formula>
    </x:cfRule>
  </x:conditionalFormatting>
  <x:pageMargins left="0.7" right="0.7" top="0.75" bottom="0.75" header="0.3" footer="0.3"/>
  <x:drawing xmlns:r="http://schemas.openxmlformats.org/officeDocument/2006/relationships" r:id="Rebf2bc5af286473b"/>
</x:worksheet>
</file>