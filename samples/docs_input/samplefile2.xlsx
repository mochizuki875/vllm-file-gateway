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74fcb8524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提条件" sheetId="1" r:id="R1b97c52fe63d4f42"/>
    <x:sheet xmlns:r="http://schemas.openxmlformats.org/officeDocument/2006/relationships" name="月次CF" sheetId="2" r:id="R792c603bee4c4109"/>
    <x:sheet xmlns:r="http://schemas.openxmlformats.org/officeDocument/2006/relationships" name="資産負債" sheetId="3" r:id="Rd6dc4ced5c2749fa"/>
    <x:sheet xmlns:r="http://schemas.openxmlformats.org/officeDocument/2006/relationships" name="年間サマリー" sheetId="4" r:id="R5c766e5d10d9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/>
    <x:border>
      <x:top style="thin">
        <x:color rgb="FF7F7F7F"/>
      </x:top>
    </x:border>
    <x:border>
      <x:top style="thin">
        <x:color rgb="FF7F7F7F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0" fillId="0" borderId="0" xfId="0" applyNumberFormat="1" applyFont="1" applyFill="1" applyBorder="1"/>
    <x:xf numFmtId="200" fontId="4" fillId="4" borderId="2" xfId="0" applyNumberFormat="1" applyFont="1" applyFill="1" applyBorder="1"/>
    <x:xf numFmtId="200" fontId="4" fillId="5" borderId="2" xfId="0" applyNumberFormat="1" applyFont="1" applyFill="1" applyBorder="1"/>
    <x:xf numFmtId="200" fontId="0" fillId="0" borderId="1" xfId="0" applyNumberFormat="1" applyFont="1" applyFill="1" applyBorder="1"/>
    <x:xf numFmtId="200" fontId="4" fillId="4" borderId="3" xfId="0" applyNumberFormat="1" applyFont="1" applyFill="1" applyBorder="1"/>
    <x:xf numFmtId="200" fontId="4" fillId="5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0f4adbc9a4494" /><Relationship Type="http://schemas.openxmlformats.org/officeDocument/2006/relationships/theme" Target="/xl/theme/theme1.xml" Id="R0a70b367718b4b48" /><Relationship Type="http://schemas.openxmlformats.org/officeDocument/2006/relationships/sharedStrings" Target="/xl/sharedStrings.xml" Id="R165d8f684dbf419f" /><Relationship Type="http://schemas.openxmlformats.org/officeDocument/2006/relationships/worksheet" Target="/xl/worksheets/sheet1.xml" Id="R1b97c52fe63d4f42" /><Relationship Type="http://schemas.openxmlformats.org/officeDocument/2006/relationships/worksheet" Target="/xl/worksheets/sheet2.xml" Id="R792c603bee4c4109" /><Relationship Type="http://schemas.openxmlformats.org/officeDocument/2006/relationships/worksheet" Target="/xl/worksheets/sheet3.xml" Id="Rd6dc4ced5c2749fa" /><Relationship Type="http://schemas.openxmlformats.org/officeDocument/2006/relationships/worksheet" Target="/xl/worksheets/sheet4.xml" Id="R5c766e5d10d947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f8b3133df44e63" /><Relationship Type="http://schemas.openxmlformats.org/officeDocument/2006/relationships/chart" Target="/xl/drawings/charts/chart2.xml" Id="Re45c328d719a4e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月次キャッシュフロー推移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'月次CF'!$C$3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'月次CF'!$D$3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'月次CF'!$E$3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'月次CF'!$F$3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'月次CF'!$G$3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'月次CF'!$H$3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'月次CF'!$I$3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'月次CF'!$J$3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'月次CF'!$K$3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Series 10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'月次CF'!$L$3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v>Series 11</c:v>
          </c:tx>
          <c:marker>
            <c:symbol val="none"/>
          </c:marker>
          <c:cat>
            <c:strRef>
              <c:f>'月次CF'!$B$3</c:f>
              <c:strCache>
                <c:ptCount val="0"/>
              </c:strCache>
            </c:strRef>
          </c:cat>
          <c:val>
            <c:numRef>
              <c:f>'月次CF'!$M$3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収入</c:v>
          </c:tx>
          <c:marker>
            <c:symbol val="none"/>
          </c:marker>
          <c:cat>
            <c:strRef>
              <c:f>='月次CF'!$B$3:$M$3</c:f>
              <c:strCache>
                <c:ptCount val="0"/>
              </c:strCache>
            </c:strRef>
          </c:cat>
          <c:val>
            <c:numRef>
              <c:f>='月次CF'!$B$10:$M$10</c:f>
              <c:numCache>
                <c:formatCode>General</c:formatCode>
                <c:ptCount val="0"/>
              </c:numCache>
            </c:numRef>
          </c:val>
        </c:ser>
        <c:ser>
          <c:idx val="12"/>
          <c:order val="12"/>
          <c:tx>
            <c:v>生活支出</c:v>
          </c:tx>
          <c:marker>
            <c:symbol val="none"/>
          </c:marker>
          <c:cat>
            <c:strRef>
              <c:f>='月次CF'!$B$3:$M$3</c:f>
              <c:strCache>
                <c:ptCount val="0"/>
              </c:strCache>
            </c:strRef>
          </c:cat>
          <c:val>
            <c:numRef>
              <c:f>='月次CF'!$B$27:$M$27</c:f>
              <c:numCache>
                <c:formatCode>General</c:formatCode>
                <c:ptCount val="0"/>
              </c:numCache>
            </c:numRef>
          </c:val>
        </c:ser>
        <c:ser>
          <c:idx val="13"/>
          <c:order val="13"/>
          <c:tx>
            <c:v>投資・積立</c:v>
          </c:tx>
          <c:marker>
            <c:symbol val="none"/>
          </c:marker>
          <c:cat>
            <c:strRef>
              <c:f>='月次CF'!$B$3:$M$3</c:f>
              <c:strCache>
                <c:ptCount val="0"/>
              </c:strCache>
            </c:strRef>
          </c:cat>
          <c:val>
            <c:numRef>
              <c:f>='月次CF'!$B$32:$M$32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金融資産の推移</a:t>
            </a:r>
          </a:p>
        </c:rich>
      </c:tx>
    </c:title>
    <c:plotArea>
      <c:lineChart>
        <c:grouping val="standard"/>
        <c:ser>
          <c:idx val="0"/>
          <c:order val="0"/>
          <c:tx>
            <c:v>現預金</c:v>
          </c:tx>
          <c:marker>
            <c:symbol val="none"/>
          </c:marker>
          <c:cat>
            <c:strRef>
              <c:f>'資産負債'!$A$4:$A$8</c:f>
              <c:strCache>
                <c:ptCount val="0"/>
              </c:strCache>
            </c:strRef>
          </c:cat>
          <c:val>
            <c:numRef>
              <c:f>'資産負債'!$B$4:$B$8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投資資産</c:v>
          </c:tx>
          <c:marker>
            <c:symbol val="none"/>
          </c:marker>
          <c:cat>
            <c:strRef>
              <c:f>'資産負債'!$A$4:$A$8</c:f>
              <c:strCache>
                <c:ptCount val="0"/>
              </c:strCache>
            </c:strRef>
          </c:cat>
          <c:val>
            <c:numRef>
              <c:f>'資産負債'!$C$4:$C$8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8b3133df44e63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5c328d719a4e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0493b4ef18f4f3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</x:cols>
  <x:sheetData>
    <x:row r="1">
      <x:c r="A1" s="24" t="str">
        <x:v>架空家計 キャッシュフロー・モデル</x:v>
      </x:c>
      <x:c r="B1" s="24"/>
      <x:c r="C1" s="24"/>
      <x:c r="D1" s="24"/>
    </x:row>
    <x:row r="2">
      <x:c r="A2" s="25"/>
      <x:c r="B2" s="25"/>
      <x:c r="C2" s="25"/>
      <x:c r="D2" s="25"/>
    </x:row>
    <x:row r="3">
      <x:c r="A3" s="26" t="str">
        <x:v>項目</x:v>
      </x:c>
      <x:c r="B3" s="26" t="str">
        <x:v>設定値</x:v>
      </x:c>
      <x:c r="C3" s="26" t="str">
        <x:v>単位</x:v>
      </x:c>
      <x:c r="D3" s="26" t="str">
        <x:v>備考</x:v>
      </x:c>
    </x:row>
    <x:row r="4">
      <x:c r="A4" s="25" t="str">
        <x:v>世帯</x:v>
      </x:c>
      <x:c r="B4" s="27" t="str">
        <x:v>佐藤家(架空)</x:v>
      </x:c>
      <x:c r="C4" s="25" t="str"/>
      <x:c r="D4" s="25" t="str">
        <x:v>夫婦+子ども2人</x:v>
      </x:c>
    </x:row>
    <x:row r="5">
      <x:c r="A5" s="25" t="str">
        <x:v>夫 年齢</x:v>
      </x:c>
      <x:c r="B5" s="27" t="n">
        <x:v>38</x:v>
      </x:c>
      <x:c r="C5" s="25" t="str">
        <x:v>歳</x:v>
      </x:c>
      <x:c r="D5" s="25" t="str">
        <x:v>会社員</x:v>
      </x:c>
    </x:row>
    <x:row r="6">
      <x:c r="A6" s="25" t="str">
        <x:v>妻 年齢</x:v>
      </x:c>
      <x:c r="B6" s="27" t="n">
        <x:v>36</x:v>
      </x:c>
      <x:c r="C6" s="25" t="str">
        <x:v>歳</x:v>
      </x:c>
      <x:c r="D6" s="25" t="str">
        <x:v>会社員(時短勤務)</x:v>
      </x:c>
    </x:row>
    <x:row r="7">
      <x:c r="A7" s="25" t="str">
        <x:v>子1 年齢</x:v>
      </x:c>
      <x:c r="B7" s="27" t="n">
        <x:v>8</x:v>
      </x:c>
      <x:c r="C7" s="25" t="str">
        <x:v>歳</x:v>
      </x:c>
      <x:c r="D7" s="25" t="str">
        <x:v>小学生</x:v>
      </x:c>
    </x:row>
    <x:row r="8">
      <x:c r="A8" s="25" t="str">
        <x:v>子2 年齢</x:v>
      </x:c>
      <x:c r="B8" s="27" t="n">
        <x:v>5</x:v>
      </x:c>
      <x:c r="C8" s="25" t="str">
        <x:v>歳</x:v>
      </x:c>
      <x:c r="D8" s="25" t="str">
        <x:v>保育園</x:v>
      </x:c>
    </x:row>
    <x:row r="9">
      <x:c r="A9" s="25" t="str">
        <x:v>住宅ローン残高</x:v>
      </x:c>
      <x:c r="B9" s="27" t="n">
        <x:v>36800000</x:v>
      </x:c>
      <x:c r="C9" s="25" t="str">
        <x:v>円</x:v>
      </x:c>
      <x:c r="D9" s="25" t="str">
        <x:v>架空の初期残高</x:v>
      </x:c>
    </x:row>
    <x:row r="10">
      <x:c r="A10" s="25" t="str">
        <x:v>住宅ローン金利</x:v>
      </x:c>
      <x:c r="B10" s="28" t="n">
        <x:v>0.0095</x:v>
      </x:c>
      <x:c r="C10" s="25" t="str">
        <x:v>%</x:v>
      </x:c>
      <x:c r="D10" s="25" t="str">
        <x:v>変動金利想定</x:v>
      </x:c>
    </x:row>
    <x:row r="11">
      <x:c r="A11" s="25" t="str">
        <x:v>現預金期首残高</x:v>
      </x:c>
      <x:c r="B11" s="29" t="n">
        <x:v>4200000</x:v>
      </x:c>
      <x:c r="C11" s="25" t="str">
        <x:v>円</x:v>
      </x:c>
      <x:c r="D11" s="25" t="str">
        <x:v>架空の期首残高</x:v>
      </x:c>
    </x:row>
    <x:row r="12">
      <x:c r="A12" s="25" t="str">
        <x:v>投資資産期首残高</x:v>
      </x:c>
      <x:c r="B12" s="28" t="n">
        <x:v>7600000</x:v>
      </x:c>
      <x:c r="C12" s="25" t="str">
        <x:v>円</x:v>
      </x:c>
      <x:c r="D12" s="25" t="str">
        <x:v>NISA等を含む架空値</x:v>
      </x:c>
    </x:row>
    <x:row r="13">
      <x:c r="A13" s="25"/>
      <x:c r="B13" s="25"/>
      <x:c r="C13" s="25"/>
      <x:c r="D13" s="25"/>
    </x:row>
    <x:row r="14">
      <x:c r="A14" s="26" t="str">
        <x:v>主要月次前提</x:v>
      </x:c>
      <x:c r="B14" s="26" t="str">
        <x:v>金額</x:v>
      </x:c>
      <x:c r="C14" s="26" t="str">
        <x:v>単位</x:v>
      </x:c>
      <x:c r="D14" s="26" t="str">
        <x:v>備考</x:v>
      </x:c>
    </x:row>
    <x:row r="15">
      <x:c r="A15" s="25" t="str">
        <x:v>夫 手取り給与</x:v>
      </x:c>
      <x:c r="B15" s="27" t="n">
        <x:v>470000</x:v>
      </x:c>
      <x:c r="C15" s="25" t="str">
        <x:v>円/月</x:v>
      </x:c>
      <x:c r="D15" s="25" t="str">
        <x:v>賞与月を除く</x:v>
      </x:c>
    </x:row>
    <x:row r="16">
      <x:c r="A16" s="25" t="str">
        <x:v>妻 手取り給与</x:v>
      </x:c>
      <x:c r="B16" s="28" t="n">
        <x:v>255000</x:v>
      </x:c>
      <x:c r="C16" s="25" t="str">
        <x:v>円/月</x:v>
      </x:c>
      <x:c r="D16" s="25" t="str">
        <x:v>賞与月を除く</x:v>
      </x:c>
    </x:row>
    <x:row r="17">
      <x:c r="A17" s="25" t="str">
        <x:v>住宅ローン返済</x:v>
      </x:c>
      <x:c r="B17" s="28" t="n">
        <x:v>128000</x:v>
      </x:c>
      <x:c r="C17" s="25" t="str">
        <x:v>円/月</x:v>
      </x:c>
      <x:c r="D17" s="25" t="str">
        <x:v>元利均等想定</x:v>
      </x:c>
    </x:row>
    <x:row r="18">
      <x:c r="A18" s="25" t="str">
        <x:v>NISA積立</x:v>
      </x:c>
      <x:c r="B18" s="28" t="n">
        <x:v>80000</x:v>
      </x:c>
      <x:c r="C18" s="25" t="str">
        <x:v>円/月</x:v>
      </x:c>
      <x:c r="D18" s="25" t="str">
        <x:v>投資への振替</x:v>
      </x:c>
    </x:row>
    <x:row r="19">
      <x:c r="A19" s="25" t="str">
        <x:v>教育積立</x:v>
      </x:c>
      <x:c r="B19" s="28" t="n">
        <x:v>30000</x:v>
      </x:c>
      <x:c r="C19" s="25" t="str">
        <x:v>円/月</x:v>
      </x:c>
      <x:c r="D19" s="25" t="str">
        <x:v>教育資金用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5" t="str">
        <x:v>2026年 佐藤家(架空) 月次キャッシュフロー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3" t="str">
        <x:v>項目</x:v>
      </x:c>
      <x:c r="B3" s="13" t="str">
        <x:v>2026/1</x:v>
      </x:c>
      <x:c r="C3" s="13" t="str">
        <x:v>2026/2</x:v>
      </x:c>
      <x:c r="D3" s="13" t="str">
        <x:v>2026/3</x:v>
      </x:c>
      <x:c r="E3" s="13" t="str">
        <x:v>2026/4</x:v>
      </x:c>
      <x:c r="F3" s="13" t="str">
        <x:v>2026/5</x:v>
      </x:c>
      <x:c r="G3" s="13" t="str">
        <x:v>2026/6</x:v>
      </x:c>
      <x:c r="H3" s="13" t="str">
        <x:v>2026/7</x:v>
      </x:c>
      <x:c r="I3" s="13" t="str">
        <x:v>2026/8</x:v>
      </x:c>
      <x:c r="J3" s="13" t="str">
        <x:v>2026/9</x:v>
      </x:c>
      <x:c r="K3" s="13" t="str">
        <x:v>2026/10</x:v>
      </x:c>
      <x:c r="L3" s="13" t="str">
        <x:v>2026/11</x:v>
      </x:c>
      <x:c r="M3" s="13" t="str">
        <x:v>2026/12</x:v>
      </x:c>
      <x:c r="N3" s="13" t="str">
        <x:v>年間合計</x:v>
      </x:c>
    </x:row>
    <x:row r="4">
      <x:c r="A4" t="str">
        <x:v>夫 給与</x:v>
      </x:c>
      <x:c r="B4" s="20" t="n">
        <x:v>470000</x:v>
      </x:c>
      <x:c r="C4" s="20" t="n">
        <x:v>470000</x:v>
      </x:c>
      <x:c r="D4" s="20" t="n">
        <x:v>470000</x:v>
      </x:c>
      <x:c r="E4" s="20" t="n">
        <x:v>470000</x:v>
      </x:c>
      <x:c r="F4" s="20" t="n">
        <x:v>470000</x:v>
      </x:c>
      <x:c r="G4" s="20" t="n">
        <x:v>470000</x:v>
      </x:c>
      <x:c r="H4" s="20" t="n">
        <x:v>470000</x:v>
      </x:c>
      <x:c r="I4" s="20" t="n">
        <x:v>470000</x:v>
      </x:c>
      <x:c r="J4" s="20" t="n">
        <x:v>470000</x:v>
      </x:c>
      <x:c r="K4" s="20" t="n">
        <x:v>470000</x:v>
      </x:c>
      <x:c r="L4" s="20" t="n">
        <x:v>470000</x:v>
      </x:c>
      <x:c r="M4" s="20" t="n">
        <x:v>470000</x:v>
      </x:c>
      <x:c r="N4" s="48" t="n">
        <x:f>SUM(B4:M4)</x:f>
        <x:v>5640000</x:v>
      </x:c>
    </x:row>
    <x:row r="5">
      <x:c r="A5" t="str">
        <x:v>妻 給与</x:v>
      </x:c>
      <x:c r="B5" s="20" t="n">
        <x:v>255000</x:v>
      </x:c>
      <x:c r="C5" s="20" t="n">
        <x:v>255000</x:v>
      </x:c>
      <x:c r="D5" s="20" t="n">
        <x:v>255000</x:v>
      </x:c>
      <x:c r="E5" s="20" t="n">
        <x:v>255000</x:v>
      </x:c>
      <x:c r="F5" s="20" t="n">
        <x:v>255000</x:v>
      </x:c>
      <x:c r="G5" s="20" t="n">
        <x:v>255000</x:v>
      </x:c>
      <x:c r="H5" s="20" t="n">
        <x:v>255000</x:v>
      </x:c>
      <x:c r="I5" s="20" t="n">
        <x:v>255000</x:v>
      </x:c>
      <x:c r="J5" s="20" t="n">
        <x:v>255000</x:v>
      </x:c>
      <x:c r="K5" s="20" t="n">
        <x:v>255000</x:v>
      </x:c>
      <x:c r="L5" s="20" t="n">
        <x:v>255000</x:v>
      </x:c>
      <x:c r="M5" s="20" t="n">
        <x:v>255000</x:v>
      </x:c>
      <x:c r="N5" s="48" t="n">
        <x:f>SUM(B5:M5)</x:f>
        <x:v>3060000</x:v>
      </x:c>
    </x:row>
    <x:row r="6">
      <x:c r="A6" t="str">
        <x:v>夫 賞与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700000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n">
        <x:v>850000</x:v>
      </x:c>
      <x:c r="N6" s="48" t="n">
        <x:f>SUM(B6:M6)</x:f>
        <x:v>1550000</x:v>
      </x:c>
    </x:row>
    <x:row r="7">
      <x:c r="A7" t="str">
        <x:v>妻 賞与</x:v>
      </x:c>
      <x:c r="B7" s="20" t="n">
        <x:v>0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280000</x:v>
      </x:c>
      <x:c r="H7" s="20" t="n">
        <x:v>0</x:v>
      </x:c>
      <x:c r="I7" s="20" t="n">
        <x:v>0</x:v>
      </x:c>
      <x:c r="J7" s="20" t="n">
        <x:v>0</x:v>
      </x:c>
      <x:c r="K7" s="20" t="n">
        <x:v>0</x:v>
      </x:c>
      <x:c r="L7" s="20" t="n">
        <x:v>0</x:v>
      </x:c>
      <x:c r="M7" s="20" t="n">
        <x:v>320000</x:v>
      </x:c>
      <x:c r="N7" s="48" t="n">
        <x:f>SUM(B7:M7)</x:f>
        <x:v>600000</x:v>
      </x:c>
    </x:row>
    <x:row r="8">
      <x:c r="A8" t="str">
        <x:v>児童手当等</x:v>
      </x:c>
      <x:c r="B8" s="20" t="n">
        <x:v>20000</x:v>
      </x:c>
      <x:c r="C8" s="20" t="n">
        <x:v>20000</x:v>
      </x:c>
      <x:c r="D8" s="20" t="n">
        <x:v>20000</x:v>
      </x:c>
      <x:c r="E8" s="20" t="n">
        <x:v>20000</x:v>
      </x:c>
      <x:c r="F8" s="20" t="n">
        <x:v>20000</x:v>
      </x:c>
      <x:c r="G8" s="20" t="n">
        <x:v>20000</x:v>
      </x:c>
      <x:c r="H8" s="20" t="n">
        <x:v>20000</x:v>
      </x:c>
      <x:c r="I8" s="20" t="n">
        <x:v>20000</x:v>
      </x:c>
      <x:c r="J8" s="20" t="n">
        <x:v>20000</x:v>
      </x:c>
      <x:c r="K8" s="20" t="n">
        <x:v>20000</x:v>
      </x:c>
      <x:c r="L8" s="20" t="n">
        <x:v>20000</x:v>
      </x:c>
      <x:c r="M8" s="20" t="n">
        <x:v>20000</x:v>
      </x:c>
      <x:c r="N8" s="48" t="n">
        <x:f>SUM(B8:M8)</x:f>
        <x:v>240000</x:v>
      </x:c>
    </x:row>
    <x:row r="9">
      <x:c r="A9" t="str">
        <x:v>その他収入</x:v>
      </x:c>
      <x:c r="B9" s="20" t="n">
        <x:v>0</x:v>
      </x:c>
      <x:c r="C9" s="20" t="n">
        <x:v>0</x:v>
      </x:c>
      <x:c r="D9" s="20" t="n">
        <x:v>15000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30000</x:v>
      </x:c>
      <x:c r="J9" s="20" t="n">
        <x:v>0</x:v>
      </x:c>
      <x:c r="K9" s="20" t="n">
        <x:v>0</x:v>
      </x:c>
      <x:c r="L9" s="20" t="n">
        <x:v>0</x:v>
      </x:c>
      <x:c r="M9" s="20" t="n">
        <x:v>20000</x:v>
      </x:c>
      <x:c r="N9" s="48" t="n">
        <x:f>SUM(B9:M9)</x:f>
        <x:v>65000</x:v>
      </x:c>
    </x:row>
    <x:row r="10">
      <x:c r="A10" s="38" t="str">
        <x:v>収入合計</x:v>
      </x:c>
      <x:c r="B10" s="49" t="n">
        <x:f>SUM(B4:B9)</x:f>
        <x:v>745000</x:v>
      </x:c>
      <x:c r="C10" s="49" t="n">
        <x:f>SUM(C4:C9)</x:f>
        <x:v>745000</x:v>
      </x:c>
      <x:c r="D10" s="49" t="n">
        <x:f>SUM(D4:D9)</x:f>
        <x:v>760000</x:v>
      </x:c>
      <x:c r="E10" s="49" t="n">
        <x:f>SUM(E4:E9)</x:f>
        <x:v>745000</x:v>
      </x:c>
      <x:c r="F10" s="49" t="n">
        <x:f>SUM(F4:F9)</x:f>
        <x:v>745000</x:v>
      </x:c>
      <x:c r="G10" s="49" t="n">
        <x:f>SUM(G4:G9)</x:f>
        <x:v>1725000</x:v>
      </x:c>
      <x:c r="H10" s="49" t="n">
        <x:f>SUM(H4:H9)</x:f>
        <x:v>745000</x:v>
      </x:c>
      <x:c r="I10" s="49" t="n">
        <x:f>SUM(I4:I9)</x:f>
        <x:v>775000</x:v>
      </x:c>
      <x:c r="J10" s="49" t="n">
        <x:f>SUM(J4:J9)</x:f>
        <x:v>745000</x:v>
      </x:c>
      <x:c r="K10" s="49" t="n">
        <x:f>SUM(K4:K9)</x:f>
        <x:v>745000</x:v>
      </x:c>
      <x:c r="L10" s="49" t="n">
        <x:f>SUM(L4:L9)</x:f>
        <x:v>745000</x:v>
      </x:c>
      <x:c r="M10" s="49" t="n">
        <x:f>SUM(M4:M9)</x:f>
        <x:v>1935000</x:v>
      </x:c>
      <x:c r="N10" s="49" t="n">
        <x:f>SUM(B10:M10)</x:f>
        <x:v>11155000</x:v>
      </x:c>
    </x:row>
    <x:row r="11">
      <x:c r="A11" t="str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</x:row>
    <x:row r="12">
      <x:c r="A12" t="str">
        <x:v>住宅ローン</x:v>
      </x:c>
      <x:c r="B12" s="20" t="n">
        <x:v>128000</x:v>
      </x:c>
      <x:c r="C12" s="20" t="n">
        <x:v>128000</x:v>
      </x:c>
      <x:c r="D12" s="20" t="n">
        <x:v>128000</x:v>
      </x:c>
      <x:c r="E12" s="20" t="n">
        <x:v>128000</x:v>
      </x:c>
      <x:c r="F12" s="20" t="n">
        <x:v>128000</x:v>
      </x:c>
      <x:c r="G12" s="20" t="n">
        <x:v>128000</x:v>
      </x:c>
      <x:c r="H12" s="20" t="n">
        <x:v>128000</x:v>
      </x:c>
      <x:c r="I12" s="20" t="n">
        <x:v>128000</x:v>
      </x:c>
      <x:c r="J12" s="20" t="n">
        <x:v>128000</x:v>
      </x:c>
      <x:c r="K12" s="20" t="n">
        <x:v>128000</x:v>
      </x:c>
      <x:c r="L12" s="20" t="n">
        <x:v>128000</x:v>
      </x:c>
      <x:c r="M12" s="20" t="n">
        <x:v>128000</x:v>
      </x:c>
      <x:c r="N12" s="48" t="n">
        <x:f>SUM(B12:M12)</x:f>
        <x:v>1536000</x:v>
      </x:c>
    </x:row>
    <x:row r="13">
      <x:c r="A13" t="str">
        <x:v>食費</x:v>
      </x:c>
      <x:c r="B13" s="20" t="n">
        <x:v>92000</x:v>
      </x:c>
      <x:c r="C13" s="20" t="n">
        <x:v>88000</x:v>
      </x:c>
      <x:c r="D13" s="20" t="n">
        <x:v>90000</x:v>
      </x:c>
      <x:c r="E13" s="20" t="n">
        <x:v>93000</x:v>
      </x:c>
      <x:c r="F13" s="20" t="n">
        <x:v>95000</x:v>
      </x:c>
      <x:c r="G13" s="20" t="n">
        <x:v>98000</x:v>
      </x:c>
      <x:c r="H13" s="20" t="n">
        <x:v>97000</x:v>
      </x:c>
      <x:c r="I13" s="20" t="n">
        <x:v>102000</x:v>
      </x:c>
      <x:c r="J13" s="20" t="n">
        <x:v>94000</x:v>
      </x:c>
      <x:c r="K13" s="20" t="n">
        <x:v>92000</x:v>
      </x:c>
      <x:c r="L13" s="20" t="n">
        <x:v>96000</x:v>
      </x:c>
      <x:c r="M13" s="20" t="n">
        <x:v>110000</x:v>
      </x:c>
      <x:c r="N13" s="48" t="n">
        <x:f>SUM(B13:M13)</x:f>
        <x:v>1147000</x:v>
      </x:c>
    </x:row>
    <x:row r="14">
      <x:c r="A14" t="str">
        <x:v>水道光熱費</x:v>
      </x:c>
      <x:c r="B14" s="20" t="n">
        <x:v>26000</x:v>
      </x:c>
      <x:c r="C14" s="20" t="n">
        <x:v>24000</x:v>
      </x:c>
      <x:c r="D14" s="20" t="n">
        <x:v>21000</x:v>
      </x:c>
      <x:c r="E14" s="20" t="n">
        <x:v>19000</x:v>
      </x:c>
      <x:c r="F14" s="20" t="n">
        <x:v>17000</x:v>
      </x:c>
      <x:c r="G14" s="20" t="n">
        <x:v>16000</x:v>
      </x:c>
      <x:c r="H14" s="20" t="n">
        <x:v>18000</x:v>
      </x:c>
      <x:c r="I14" s="20" t="n">
        <x:v>23000</x:v>
      </x:c>
      <x:c r="J14" s="20" t="n">
        <x:v>21000</x:v>
      </x:c>
      <x:c r="K14" s="20" t="n">
        <x:v>19000</x:v>
      </x:c>
      <x:c r="L14" s="20" t="n">
        <x:v>21000</x:v>
      </x:c>
      <x:c r="M14" s="20" t="n">
        <x:v>28000</x:v>
      </x:c>
      <x:c r="N14" s="48" t="n">
        <x:f>SUM(B14:M14)</x:f>
        <x:v>253000</x:v>
      </x:c>
    </x:row>
    <x:row r="15">
      <x:c r="A15" t="str">
        <x:v>通信費</x:v>
      </x:c>
      <x:c r="B15" s="20" t="n">
        <x:v>18500</x:v>
      </x:c>
      <x:c r="C15" s="20" t="n">
        <x:v>18500</x:v>
      </x:c>
      <x:c r="D15" s="20" t="n">
        <x:v>18500</x:v>
      </x:c>
      <x:c r="E15" s="20" t="n">
        <x:v>18500</x:v>
      </x:c>
      <x:c r="F15" s="20" t="n">
        <x:v>18500</x:v>
      </x:c>
      <x:c r="G15" s="20" t="n">
        <x:v>18500</x:v>
      </x:c>
      <x:c r="H15" s="20" t="n">
        <x:v>18500</x:v>
      </x:c>
      <x:c r="I15" s="20" t="n">
        <x:v>18500</x:v>
      </x:c>
      <x:c r="J15" s="20" t="n">
        <x:v>18500</x:v>
      </x:c>
      <x:c r="K15" s="20" t="n">
        <x:v>18500</x:v>
      </x:c>
      <x:c r="L15" s="20" t="n">
        <x:v>18500</x:v>
      </x:c>
      <x:c r="M15" s="20" t="n">
        <x:v>18500</x:v>
      </x:c>
      <x:c r="N15" s="48" t="n">
        <x:f>SUM(B15:M15)</x:f>
        <x:v>222000</x:v>
      </x:c>
    </x:row>
    <x:row r="16">
      <x:c r="A16" t="str">
        <x:v>日用品</x:v>
      </x:c>
      <x:c r="B16" s="20" t="n">
        <x:v>28000</x:v>
      </x:c>
      <x:c r="C16" s="20" t="n">
        <x:v>25000</x:v>
      </x:c>
      <x:c r="D16" s="20" t="n">
        <x:v>26000</x:v>
      </x:c>
      <x:c r="E16" s="20" t="n">
        <x:v>31000</x:v>
      </x:c>
      <x:c r="F16" s="20" t="n">
        <x:v>27000</x:v>
      </x:c>
      <x:c r="G16" s="20" t="n">
        <x:v>30000</x:v>
      </x:c>
      <x:c r="H16" s="20" t="n">
        <x:v>29000</x:v>
      </x:c>
      <x:c r="I16" s="20" t="n">
        <x:v>33000</x:v>
      </x:c>
      <x:c r="J16" s="20" t="n">
        <x:v>27000</x:v>
      </x:c>
      <x:c r="K16" s="20" t="n">
        <x:v>25000</x:v>
      </x:c>
      <x:c r="L16" s="20" t="n">
        <x:v>30000</x:v>
      </x:c>
      <x:c r="M16" s="20" t="n">
        <x:v>36000</x:v>
      </x:c>
      <x:c r="N16" s="48" t="n">
        <x:f>SUM(B16:M16)</x:f>
        <x:v>347000</x:v>
      </x:c>
    </x:row>
    <x:row r="17">
      <x:c r="A17" t="str">
        <x:v>保険料</x:v>
      </x:c>
      <x:c r="B17" s="20" t="n">
        <x:v>24500</x:v>
      </x:c>
      <x:c r="C17" s="20" t="n">
        <x:v>24500</x:v>
      </x:c>
      <x:c r="D17" s="20" t="n">
        <x:v>24500</x:v>
      </x:c>
      <x:c r="E17" s="20" t="n">
        <x:v>24500</x:v>
      </x:c>
      <x:c r="F17" s="20" t="n">
        <x:v>24500</x:v>
      </x:c>
      <x:c r="G17" s="20" t="n">
        <x:v>24500</x:v>
      </x:c>
      <x:c r="H17" s="20" t="n">
        <x:v>24500</x:v>
      </x:c>
      <x:c r="I17" s="20" t="n">
        <x:v>24500</x:v>
      </x:c>
      <x:c r="J17" s="20" t="n">
        <x:v>24500</x:v>
      </x:c>
      <x:c r="K17" s="20" t="n">
        <x:v>24500</x:v>
      </x:c>
      <x:c r="L17" s="20" t="n">
        <x:v>24500</x:v>
      </x:c>
      <x:c r="M17" s="20" t="n">
        <x:v>24500</x:v>
      </x:c>
      <x:c r="N17" s="48" t="n">
        <x:f>SUM(B17:M17)</x:f>
        <x:v>294000</x:v>
      </x:c>
    </x:row>
    <x:row r="18">
      <x:c r="A18" t="str">
        <x:v>交通費</x:v>
      </x:c>
      <x:c r="B18" s="20" t="n">
        <x:v>26000</x:v>
      </x:c>
      <x:c r="C18" s="20" t="n">
        <x:v>25000</x:v>
      </x:c>
      <x:c r="D18" s="20" t="n">
        <x:v>28000</x:v>
      </x:c>
      <x:c r="E18" s="20" t="n">
        <x:v>26000</x:v>
      </x:c>
      <x:c r="F18" s="20" t="n">
        <x:v>27000</x:v>
      </x:c>
      <x:c r="G18" s="20" t="n">
        <x:v>30000</x:v>
      </x:c>
      <x:c r="H18" s="20" t="n">
        <x:v>31000</x:v>
      </x:c>
      <x:c r="I18" s="20" t="n">
        <x:v>29000</x:v>
      </x:c>
      <x:c r="J18" s="20" t="n">
        <x:v>26000</x:v>
      </x:c>
      <x:c r="K18" s="20" t="n">
        <x:v>25000</x:v>
      </x:c>
      <x:c r="L18" s="20" t="n">
        <x:v>27000</x:v>
      </x:c>
      <x:c r="M18" s="20" t="n">
        <x:v>33000</x:v>
      </x:c>
      <x:c r="N18" s="48" t="n">
        <x:f>SUM(B18:M18)</x:f>
        <x:v>333000</x:v>
      </x:c>
    </x:row>
    <x:row r="19">
      <x:c r="A19" t="str">
        <x:v>教育・保育費</x:v>
      </x:c>
      <x:c r="B19" s="20" t="n">
        <x:v>68000</x:v>
      </x:c>
      <x:c r="C19" s="20" t="n">
        <x:v>68000</x:v>
      </x:c>
      <x:c r="D19" s="20" t="n">
        <x:v>72000</x:v>
      </x:c>
      <x:c r="E19" s="20" t="n">
        <x:v>68000</x:v>
      </x:c>
      <x:c r="F19" s="20" t="n">
        <x:v>68000</x:v>
      </x:c>
      <x:c r="G19" s="20" t="n">
        <x:v>72000</x:v>
      </x:c>
      <x:c r="H19" s="20" t="n">
        <x:v>85000</x:v>
      </x:c>
      <x:c r="I19" s="20" t="n">
        <x:v>72000</x:v>
      </x:c>
      <x:c r="J19" s="20" t="n">
        <x:v>70000</x:v>
      </x:c>
      <x:c r="K19" s="20" t="n">
        <x:v>68000</x:v>
      </x:c>
      <x:c r="L19" s="20" t="n">
        <x:v>72000</x:v>
      </x:c>
      <x:c r="M19" s="20" t="n">
        <x:v>90000</x:v>
      </x:c>
      <x:c r="N19" s="48" t="n">
        <x:f>SUM(B19:M19)</x:f>
        <x:v>873000</x:v>
      </x:c>
    </x:row>
    <x:row r="20">
      <x:c r="A20" t="str">
        <x:v>医療費</x:v>
      </x:c>
      <x:c r="B20" s="20" t="n">
        <x:v>12000</x:v>
      </x:c>
      <x:c r="C20" s="20" t="n">
        <x:v>8000</x:v>
      </x:c>
      <x:c r="D20" s="20" t="n">
        <x:v>6000</x:v>
      </x:c>
      <x:c r="E20" s="20" t="n">
        <x:v>5000</x:v>
      </x:c>
      <x:c r="F20" s="20" t="n">
        <x:v>7000</x:v>
      </x:c>
      <x:c r="G20" s="20" t="n">
        <x:v>9000</x:v>
      </x:c>
      <x:c r="H20" s="20" t="n">
        <x:v>6000</x:v>
      </x:c>
      <x:c r="I20" s="20" t="n">
        <x:v>10000</x:v>
      </x:c>
      <x:c r="J20" s="20" t="n">
        <x:v>7000</x:v>
      </x:c>
      <x:c r="K20" s="20" t="n">
        <x:v>6000</x:v>
      </x:c>
      <x:c r="L20" s="20" t="n">
        <x:v>8000</x:v>
      </x:c>
      <x:c r="M20" s="20" t="n">
        <x:v>15000</x:v>
      </x:c>
      <x:c r="N20" s="48" t="n">
        <x:f>SUM(B20:M20)</x:f>
        <x:v>99000</x:v>
      </x:c>
    </x:row>
    <x:row r="21">
      <x:c r="A21" t="str">
        <x:v>被服・美容</x:v>
      </x:c>
      <x:c r="B21" s="20" t="n">
        <x:v>18000</x:v>
      </x:c>
      <x:c r="C21" s="20" t="n">
        <x:v>12000</x:v>
      </x:c>
      <x:c r="D21" s="20" t="n">
        <x:v>15000</x:v>
      </x:c>
      <x:c r="E21" s="20" t="n">
        <x:v>22000</x:v>
      </x:c>
      <x:c r="F21" s="20" t="n">
        <x:v>16000</x:v>
      </x:c>
      <x:c r="G21" s="20" t="n">
        <x:v>14000</x:v>
      </x:c>
      <x:c r="H21" s="20" t="n">
        <x:v>30000</x:v>
      </x:c>
      <x:c r="I21" s="20" t="n">
        <x:v>12000</x:v>
      </x:c>
      <x:c r="J21" s="20" t="n">
        <x:v>18000</x:v>
      </x:c>
      <x:c r="K21" s="20" t="n">
        <x:v>15000</x:v>
      </x:c>
      <x:c r="L21" s="20" t="n">
        <x:v>14000</x:v>
      </x:c>
      <x:c r="M21" s="20" t="n">
        <x:v>35000</x:v>
      </x:c>
      <x:c r="N21" s="48" t="n">
        <x:f>SUM(B21:M21)</x:f>
        <x:v>221000</x:v>
      </x:c>
    </x:row>
    <x:row r="22">
      <x:c r="A22" t="str">
        <x:v>娯楽・外食</x:v>
      </x:c>
      <x:c r="B22" s="20" t="n">
        <x:v>34000</x:v>
      </x:c>
      <x:c r="C22" s="20" t="n">
        <x:v>28000</x:v>
      </x:c>
      <x:c r="D22" s="20" t="n">
        <x:v>32000</x:v>
      </x:c>
      <x:c r="E22" s="20" t="n">
        <x:v>30000</x:v>
      </x:c>
      <x:c r="F22" s="20" t="n">
        <x:v>36000</x:v>
      </x:c>
      <x:c r="G22" s="20" t="n">
        <x:v>42000</x:v>
      </x:c>
      <x:c r="H22" s="20" t="n">
        <x:v>85000</x:v>
      </x:c>
      <x:c r="I22" s="20" t="n">
        <x:v>90000</x:v>
      </x:c>
      <x:c r="J22" s="20" t="n">
        <x:v>38000</x:v>
      </x:c>
      <x:c r="K22" s="20" t="n">
        <x:v>32000</x:v>
      </x:c>
      <x:c r="L22" s="20" t="n">
        <x:v>36000</x:v>
      </x:c>
      <x:c r="M22" s="20" t="n">
        <x:v>60000</x:v>
      </x:c>
      <x:c r="N22" s="48" t="n">
        <x:f>SUM(B22:M22)</x:f>
        <x:v>543000</x:v>
      </x:c>
    </x:row>
    <x:row r="23">
      <x:c r="A23" t="str">
        <x:v>旅行・帰省</x:v>
      </x:c>
      <x:c r="B23" s="20" t="n">
        <x:v>0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180000</x:v>
      </x:c>
      <x:c r="I23" s="20" t="n">
        <x:v>90000</x:v>
      </x:c>
      <x:c r="J23" s="20" t="n">
        <x:v>0</x:v>
      </x:c>
      <x:c r="K23" s="20" t="n">
        <x:v>0</x:v>
      </x:c>
      <x:c r="L23" s="20" t="n">
        <x:v>0</x:v>
      </x:c>
      <x:c r="M23" s="20" t="n">
        <x:v>120000</x:v>
      </x:c>
      <x:c r="N23" s="48" t="n">
        <x:f>SUM(B23:M23)</x:f>
        <x:v>390000</x:v>
      </x:c>
    </x:row>
    <x:row r="24">
      <x:c r="A24" t="str">
        <x:v>自動車関連</x:v>
      </x:c>
      <x:c r="B24" s="20" t="n">
        <x:v>22000</x:v>
      </x:c>
      <x:c r="C24" s="20" t="n">
        <x:v>22000</x:v>
      </x:c>
      <x:c r="D24" s="20" t="n">
        <x:v>22000</x:v>
      </x:c>
      <x:c r="E24" s="20" t="n">
        <x:v>22000</x:v>
      </x:c>
      <x:c r="F24" s="20" t="n">
        <x:v>65000</x:v>
      </x:c>
      <x:c r="G24" s="20" t="n">
        <x:v>22000</x:v>
      </x:c>
      <x:c r="H24" s="20" t="n">
        <x:v>22000</x:v>
      </x:c>
      <x:c r="I24" s="20" t="n">
        <x:v>22000</x:v>
      </x:c>
      <x:c r="J24" s="20" t="n">
        <x:v>22000</x:v>
      </x:c>
      <x:c r="K24" s="20" t="n">
        <x:v>22000</x:v>
      </x:c>
      <x:c r="L24" s="20" t="n">
        <x:v>52000</x:v>
      </x:c>
      <x:c r="M24" s="20" t="n">
        <x:v>22000</x:v>
      </x:c>
      <x:c r="N24" s="48" t="n">
        <x:f>SUM(B24:M24)</x:f>
        <x:v>337000</x:v>
      </x:c>
    </x:row>
    <x:row r="25">
      <x:c r="A25" t="str">
        <x:v>税・年払い等</x:v>
      </x:c>
      <x:c r="B25" s="20" t="n">
        <x:v>0</x:v>
      </x:c>
      <x:c r="C25" s="20" t="n">
        <x:v>0</x:v>
      </x:c>
      <x:c r="D25" s="20" t="n">
        <x:v>0</x:v>
      </x:c>
      <x:c r="E25" s="20" t="n">
        <x:v>180000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  <x:c r="M25" s="20" t="n">
        <x:v>85000</x:v>
      </x:c>
      <x:c r="N25" s="48" t="n">
        <x:f>SUM(B25:M25)</x:f>
        <x:v>265000</x:v>
      </x:c>
    </x:row>
    <x:row r="26">
      <x:c r="A26" t="str">
        <x:v>その他支出</x:v>
      </x:c>
      <x:c r="B26" s="20" t="n">
        <x:v>12000</x:v>
      </x:c>
      <x:c r="C26" s="20" t="n">
        <x:v>15000</x:v>
      </x:c>
      <x:c r="D26" s="20" t="n">
        <x:v>10000</x:v>
      </x:c>
      <x:c r="E26" s="20" t="n">
        <x:v>14000</x:v>
      </x:c>
      <x:c r="F26" s="20" t="n">
        <x:v>18000</x:v>
      </x:c>
      <x:c r="G26" s="20" t="n">
        <x:v>12000</x:v>
      </x:c>
      <x:c r="H26" s="20" t="n">
        <x:v>15000</x:v>
      </x:c>
      <x:c r="I26" s="20" t="n">
        <x:v>25000</x:v>
      </x:c>
      <x:c r="J26" s="20" t="n">
        <x:v>12000</x:v>
      </x:c>
      <x:c r="K26" s="20" t="n">
        <x:v>16000</x:v>
      </x:c>
      <x:c r="L26" s="20" t="n">
        <x:v>14000</x:v>
      </x:c>
      <x:c r="M26" s="20" t="n">
        <x:v>30000</x:v>
      </x:c>
      <x:c r="N26" s="48" t="n">
        <x:f>SUM(B26:M26)</x:f>
        <x:v>193000</x:v>
      </x:c>
    </x:row>
    <x:row r="27">
      <x:c r="A27" s="44" t="str">
        <x:v>生活支出合計</x:v>
      </x:c>
      <x:c r="B27" s="50" t="n">
        <x:f>SUM(B12:B26)</x:f>
        <x:v>509000</x:v>
      </x:c>
      <x:c r="C27" s="50" t="n">
        <x:f>SUM(C12:C26)</x:f>
        <x:v>486000</x:v>
      </x:c>
      <x:c r="D27" s="50" t="n">
        <x:f>SUM(D12:D26)</x:f>
        <x:v>493000</x:v>
      </x:c>
      <x:c r="E27" s="50" t="n">
        <x:f>SUM(E12:E26)</x:f>
        <x:v>681000</x:v>
      </x:c>
      <x:c r="F27" s="50" t="n">
        <x:f>SUM(F12:F26)</x:f>
        <x:v>547000</x:v>
      </x:c>
      <x:c r="G27" s="50" t="n">
        <x:f>SUM(G12:G26)</x:f>
        <x:v>516000</x:v>
      </x:c>
      <x:c r="H27" s="50" t="n">
        <x:f>SUM(H12:H26)</x:f>
        <x:v>769000</x:v>
      </x:c>
      <x:c r="I27" s="50" t="n">
        <x:f>SUM(I12:I26)</x:f>
        <x:v>679000</x:v>
      </x:c>
      <x:c r="J27" s="50" t="n">
        <x:f>SUM(J12:J26)</x:f>
        <x:v>506000</x:v>
      </x:c>
      <x:c r="K27" s="50" t="n">
        <x:f>SUM(K12:K26)</x:f>
        <x:v>491000</x:v>
      </x:c>
      <x:c r="L27" s="50" t="n">
        <x:f>SUM(L12:L26)</x:f>
        <x:v>541000</x:v>
      </x:c>
      <x:c r="M27" s="50" t="n">
        <x:f>SUM(M12:M26)</x:f>
        <x:v>835000</x:v>
      </x:c>
      <x:c r="N27" s="50" t="n">
        <x:f>SUM(B27:M27)</x:f>
        <x:v>7053000</x:v>
      </x:c>
    </x:row>
    <x:row r="28">
      <x:c r="A28" t="str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</x:row>
    <x:row r="29">
      <x:c r="A29" t="str">
        <x:v>NISA積立</x:v>
      </x:c>
      <x:c r="B29" s="20" t="n">
        <x:v>80000</x:v>
      </x:c>
      <x:c r="C29" s="20" t="n">
        <x:v>80000</x:v>
      </x:c>
      <x:c r="D29" s="20" t="n">
        <x:v>80000</x:v>
      </x:c>
      <x:c r="E29" s="20" t="n">
        <x:v>80000</x:v>
      </x:c>
      <x:c r="F29" s="20" t="n">
        <x:v>80000</x:v>
      </x:c>
      <x:c r="G29" s="20" t="n">
        <x:v>80000</x:v>
      </x:c>
      <x:c r="H29" s="20" t="n">
        <x:v>80000</x:v>
      </x:c>
      <x:c r="I29" s="20" t="n">
        <x:v>80000</x:v>
      </x:c>
      <x:c r="J29" s="20" t="n">
        <x:v>80000</x:v>
      </x:c>
      <x:c r="K29" s="20" t="n">
        <x:v>80000</x:v>
      </x:c>
      <x:c r="L29" s="20" t="n">
        <x:v>80000</x:v>
      </x:c>
      <x:c r="M29" s="20" t="n">
        <x:v>80000</x:v>
      </x:c>
      <x:c r="N29" s="48" t="n">
        <x:f>SUM(B29:M29)</x:f>
        <x:v>960000</x:v>
      </x:c>
    </x:row>
    <x:row r="30">
      <x:c r="A30" t="str">
        <x:v>教育積立</x:v>
      </x:c>
      <x:c r="B30" s="20" t="n">
        <x:v>30000</x:v>
      </x:c>
      <x:c r="C30" s="20" t="n">
        <x:v>30000</x:v>
      </x:c>
      <x:c r="D30" s="20" t="n">
        <x:v>30000</x:v>
      </x:c>
      <x:c r="E30" s="20" t="n">
        <x:v>30000</x:v>
      </x:c>
      <x:c r="F30" s="20" t="n">
        <x:v>30000</x:v>
      </x:c>
      <x:c r="G30" s="20" t="n">
        <x:v>30000</x:v>
      </x:c>
      <x:c r="H30" s="20" t="n">
        <x:v>30000</x:v>
      </x:c>
      <x:c r="I30" s="20" t="n">
        <x:v>30000</x:v>
      </x:c>
      <x:c r="J30" s="20" t="n">
        <x:v>30000</x:v>
      </x:c>
      <x:c r="K30" s="20" t="n">
        <x:v>30000</x:v>
      </x:c>
      <x:c r="L30" s="20" t="n">
        <x:v>30000</x:v>
      </x:c>
      <x:c r="M30" s="20" t="n">
        <x:v>30000</x:v>
      </x:c>
      <x:c r="N30" s="48" t="n">
        <x:f>SUM(B30:M30)</x:f>
        <x:v>360000</x:v>
      </x:c>
    </x:row>
    <x:row r="31">
      <x:c r="A31" t="str">
        <x:v>特別積立</x:v>
      </x:c>
      <x:c r="B31" s="20" t="n">
        <x:v>20000</x:v>
      </x:c>
      <x:c r="C31" s="20" t="n">
        <x:v>20000</x:v>
      </x:c>
      <x:c r="D31" s="20" t="n">
        <x:v>20000</x:v>
      </x:c>
      <x:c r="E31" s="20" t="n">
        <x:v>20000</x:v>
      </x:c>
      <x:c r="F31" s="20" t="n">
        <x:v>20000</x:v>
      </x:c>
      <x:c r="G31" s="20" t="n">
        <x:v>100000</x:v>
      </x:c>
      <x:c r="H31" s="20" t="n">
        <x:v>20000</x:v>
      </x:c>
      <x:c r="I31" s="20" t="n">
        <x:v>20000</x:v>
      </x:c>
      <x:c r="J31" s="20" t="n">
        <x:v>20000</x:v>
      </x:c>
      <x:c r="K31" s="20" t="n">
        <x:v>20000</x:v>
      </x:c>
      <x:c r="L31" s="20" t="n">
        <x:v>20000</x:v>
      </x:c>
      <x:c r="M31" s="20" t="n">
        <x:v>150000</x:v>
      </x:c>
      <x:c r="N31" s="48" t="n">
        <x:f>SUM(B31:M31)</x:f>
        <x:v>450000</x:v>
      </x:c>
    </x:row>
    <x:row r="32">
      <x:c r="A32" s="44" t="str">
        <x:v>投資・積立合計</x:v>
      </x:c>
      <x:c r="B32" s="50" t="n">
        <x:f>SUM(B29:B31)</x:f>
        <x:v>130000</x:v>
      </x:c>
      <x:c r="C32" s="50" t="n">
        <x:f>SUM(C29:C31)</x:f>
        <x:v>130000</x:v>
      </x:c>
      <x:c r="D32" s="50" t="n">
        <x:f>SUM(D29:D31)</x:f>
        <x:v>130000</x:v>
      </x:c>
      <x:c r="E32" s="50" t="n">
        <x:f>SUM(E29:E31)</x:f>
        <x:v>130000</x:v>
      </x:c>
      <x:c r="F32" s="50" t="n">
        <x:f>SUM(F29:F31)</x:f>
        <x:v>130000</x:v>
      </x:c>
      <x:c r="G32" s="50" t="n">
        <x:f>SUM(G29:G31)</x:f>
        <x:v>210000</x:v>
      </x:c>
      <x:c r="H32" s="50" t="n">
        <x:f>SUM(H29:H31)</x:f>
        <x:v>130000</x:v>
      </x:c>
      <x:c r="I32" s="50" t="n">
        <x:f>SUM(I29:I31)</x:f>
        <x:v>130000</x:v>
      </x:c>
      <x:c r="J32" s="50" t="n">
        <x:f>SUM(J29:J31)</x:f>
        <x:v>130000</x:v>
      </x:c>
      <x:c r="K32" s="50" t="n">
        <x:f>SUM(K29:K31)</x:f>
        <x:v>130000</x:v>
      </x:c>
      <x:c r="L32" s="50" t="n">
        <x:f>SUM(L29:L31)</x:f>
        <x:v>130000</x:v>
      </x:c>
      <x:c r="M32" s="50" t="n">
        <x:f>SUM(M29:M31)</x:f>
        <x:v>260000</x:v>
      </x:c>
      <x:c r="N32" s="50" t="n">
        <x:f>SUM(B32:M32)</x:f>
        <x:v>1770000</x:v>
      </x:c>
    </x:row>
    <x:row r="33">
      <x:c r="A33" t="str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 t="n">
        <x:f>SUM(B33:M33)</x:f>
        <x:v>0</x:v>
      </x:c>
    </x:row>
    <x:row r="34">
      <x:c r="A34" s="38" t="str">
        <x:v>月間収支</x:v>
      </x:c>
      <x:c r="B34" s="49" t="n">
        <x:f>B10-B27-B32</x:f>
        <x:v>106000</x:v>
      </x:c>
      <x:c r="C34" s="49" t="n">
        <x:f>C10-C27-C32</x:f>
        <x:v>129000</x:v>
      </x:c>
      <x:c r="D34" s="49" t="n">
        <x:f>D10-D27-D32</x:f>
        <x:v>137000</x:v>
      </x:c>
      <x:c r="E34" s="49" t="n">
        <x:f>E10-E27-E32</x:f>
        <x:v>-66000</x:v>
      </x:c>
      <x:c r="F34" s="49" t="n">
        <x:f>F10-F27-F32</x:f>
        <x:v>68000</x:v>
      </x:c>
      <x:c r="G34" s="49" t="n">
        <x:f>G10-G27-G32</x:f>
        <x:v>999000</x:v>
      </x:c>
      <x:c r="H34" s="49" t="n">
        <x:f>H10-H27-H32</x:f>
        <x:v>-154000</x:v>
      </x:c>
      <x:c r="I34" s="49" t="n">
        <x:f>I10-I27-I32</x:f>
        <x:v>-34000</x:v>
      </x:c>
      <x:c r="J34" s="49" t="n">
        <x:f>J10-J27-J32</x:f>
        <x:v>109000</x:v>
      </x:c>
      <x:c r="K34" s="49" t="n">
        <x:f>K10-K27-K32</x:f>
        <x:v>124000</x:v>
      </x:c>
      <x:c r="L34" s="49" t="n">
        <x:f>L10-L27-L32</x:f>
        <x:v>74000</x:v>
      </x:c>
      <x:c r="M34" s="49" t="n">
        <x:f>M10-M27-M32</x:f>
        <x:v>840000</x:v>
      </x:c>
      <x:c r="N34" s="49" t="n">
        <x:f>SUM(B34:M34)</x:f>
        <x:v>2332000</x:v>
      </x:c>
    </x:row>
    <x:row r="35">
      <x:c r="A35" s="38" t="str">
        <x:v>累計収支</x:v>
      </x:c>
      <x:c r="B35" s="49" t="n">
        <x:f>B34</x:f>
        <x:v>106000</x:v>
      </x:c>
      <x:c r="C35" s="49" t="n">
        <x:f>B35+C34</x:f>
        <x:v>235000</x:v>
      </x:c>
      <x:c r="D35" s="49" t="n">
        <x:f>C35+D34</x:f>
        <x:v>372000</x:v>
      </x:c>
      <x:c r="E35" s="49" t="n">
        <x:f>D35+E34</x:f>
        <x:v>306000</x:v>
      </x:c>
      <x:c r="F35" s="49" t="n">
        <x:f>E35+F34</x:f>
        <x:v>374000</x:v>
      </x:c>
      <x:c r="G35" s="49" t="n">
        <x:f>F35+G34</x:f>
        <x:v>1373000</x:v>
      </x:c>
      <x:c r="H35" s="49" t="n">
        <x:f>G35+H34</x:f>
        <x:v>1219000</x:v>
      </x:c>
      <x:c r="I35" s="49" t="n">
        <x:f>H35+I34</x:f>
        <x:v>1185000</x:v>
      </x:c>
      <x:c r="J35" s="49" t="n">
        <x:f>I35+J34</x:f>
        <x:v>1294000</x:v>
      </x:c>
      <x:c r="K35" s="49" t="n">
        <x:f>J35+K34</x:f>
        <x:v>1418000</x:v>
      </x:c>
      <x:c r="L35" s="49" t="n">
        <x:f>K35+L34</x:f>
        <x:v>1492000</x:v>
      </x:c>
      <x:c r="M35" s="49" t="n">
        <x:f>L35+M34</x:f>
        <x:v>2332000</x:v>
      </x:c>
      <x:c r="N35" s="49" t="n">
        <x:f>M35</x:f>
        <x:v>2332000</x:v>
      </x:c>
    </x:row>
  </x:sheetData>
  <x:mergeCells>
    <x:mergeCell ref="A1:N1"/>
  </x:mergeCells>
  <x:conditionalFormatting sqref="B34:M34">
    <x:cfRule type="expression" dxfId="0" priority="1">
      <x:formula>B34&lt;0</x:formula>
    </x:cfRule>
    <x:cfRule type="expression" dxfId="1" priority="2">
      <x:formula>B34&gt;0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5" t="str">
        <x:v>2026年 資産・負債推移(架空)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時点</x:v>
      </x:c>
      <x:c r="B3" s="13" t="str">
        <x:v>現預金</x:v>
      </x:c>
      <x:c r="C3" s="13" t="str">
        <x:v>投資資産</x:v>
      </x:c>
      <x:c r="D3" s="13" t="str">
        <x:v>その他資産</x:v>
      </x:c>
      <x:c r="E3" s="13" t="str">
        <x:v>住宅ローン残高</x:v>
      </x:c>
      <x:c r="F3" s="13" t="str">
        <x:v>純金融資産</x:v>
      </x:c>
      <x:c r="G3" s="13" t="str">
        <x:v>純資産概算</x:v>
      </x:c>
      <x:c r="H3" s="13" t="str">
        <x:v>備考</x:v>
      </x:c>
    </x:row>
    <x:row r="4">
      <x:c r="A4" t="str">
        <x:v>2026/01/01</x:v>
      </x:c>
      <x:c r="B4" s="20" t="n">
        <x:v>4200000</x:v>
      </x:c>
      <x:c r="C4" s="20" t="n">
        <x:v>7600000</x:v>
      </x:c>
      <x:c r="D4" s="20" t="n">
        <x:v>1500000</x:v>
      </x:c>
      <x:c r="E4" s="20" t="n">
        <x:v>36800000</x:v>
      </x:c>
      <x:c r="F4" s="48" t="n">
        <x:f>B4+C4-E4</x:f>
        <x:v>-25000000</x:v>
      </x:c>
      <x:c r="G4" s="48" t="n">
        <x:f>B4+C4+D4-E4</x:f>
        <x:v>-23500000</x:v>
      </x:c>
      <x:c r="H4" t="str">
        <x:v>期首</x:v>
      </x:c>
    </x:row>
    <x:row r="5">
      <x:c r="A5" t="str">
        <x:v>2026/03/31</x:v>
      </x:c>
      <x:c r="B5" s="20" t="n">
        <x:v>4250000</x:v>
      </x:c>
      <x:c r="C5" s="20" t="n">
        <x:v>7900000</x:v>
      </x:c>
      <x:c r="D5" s="20" t="n">
        <x:v>1480000</x:v>
      </x:c>
      <x:c r="E5" s="20" t="n">
        <x:v>36550000</x:v>
      </x:c>
      <x:c r="F5" s="48" t="n">
        <x:f>B5+C5-E5</x:f>
        <x:v>-24400000</x:v>
      </x:c>
      <x:c r="G5" s="48" t="n">
        <x:f>B5+C5+D5-E5</x:f>
        <x:v>-22920000</x:v>
      </x:c>
      <x:c r="H5" t="str">
        <x:v>Q1</x:v>
      </x:c>
    </x:row>
    <x:row r="6">
      <x:c r="A6" t="str">
        <x:v>2026/06/30</x:v>
      </x:c>
      <x:c r="B6" s="20" t="n">
        <x:v>4680000</x:v>
      </x:c>
      <x:c r="C6" s="20" t="n">
        <x:v>8500000</x:v>
      </x:c>
      <x:c r="D6" s="20" t="n">
        <x:v>1450000</x:v>
      </x:c>
      <x:c r="E6" s="20" t="n">
        <x:v>36280000</x:v>
      </x:c>
      <x:c r="F6" s="48" t="n">
        <x:f>B6+C6-E6</x:f>
        <x:v>-23100000</x:v>
      </x:c>
      <x:c r="G6" s="48" t="n">
        <x:f>B6+C6+D6-E6</x:f>
        <x:v>-21650000</x:v>
      </x:c>
      <x:c r="H6" t="str">
        <x:v>Q2</x:v>
      </x:c>
    </x:row>
    <x:row r="7">
      <x:c r="A7" t="str">
        <x:v>2026/09/30</x:v>
      </x:c>
      <x:c r="B7" s="20" t="n">
        <x:v>4450000</x:v>
      </x:c>
      <x:c r="C7" s="20" t="n">
        <x:v>9050000</x:v>
      </x:c>
      <x:c r="D7" s="20" t="n">
        <x:v>1430000</x:v>
      </x:c>
      <x:c r="E7" s="20" t="n">
        <x:v>35990000</x:v>
      </x:c>
      <x:c r="F7" s="48" t="n">
        <x:f>B7+C7-E7</x:f>
        <x:v>-22490000</x:v>
      </x:c>
      <x:c r="G7" s="48" t="n">
        <x:f>B7+C7+D7-E7</x:f>
        <x:v>-21060000</x:v>
      </x:c>
      <x:c r="H7" t="str">
        <x:v>Q3</x:v>
      </x:c>
    </x:row>
    <x:row r="8">
      <x:c r="A8" t="str">
        <x:v>2026/12/31</x:v>
      </x:c>
      <x:c r="B8" s="20" t="n">
        <x:v>5050000</x:v>
      </x:c>
      <x:c r="C8" s="20" t="n">
        <x:v>9900000</x:v>
      </x:c>
      <x:c r="D8" s="20" t="n">
        <x:v>1400000</x:v>
      </x:c>
      <x:c r="E8" s="20" t="n">
        <x:v>35700000</x:v>
      </x:c>
      <x:c r="F8" s="48" t="n">
        <x:f>B8+C8-E8</x:f>
        <x:v>-20750000</x:v>
      </x:c>
      <x:c r="G8" s="48" t="n">
        <x:f>B8+C8+D8-E8</x:f>
        <x:v>-19350000</x:v>
      </x:c>
      <x:c r="H8" t="str">
        <x:v>期末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</x:cols>
  <x:sheetData>
    <x:row r="1">
      <x:c r="A1" s="5" t="str">
        <x:v>年間サマリー / 家計KPI(架空)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3" t="str">
        <x:v>KPI</x:v>
      </x:c>
      <x:c r="B3" s="13" t="str">
        <x:v>値</x:v>
      </x:c>
      <x:c r="C3" s="13" t="str">
        <x:v>単位</x:v>
      </x:c>
      <x:c r="D3" s="13" t="str">
        <x:v>コメント</x:v>
      </x:c>
    </x:row>
    <x:row r="4">
      <x:c r="A4" t="str">
        <x:v>年間総収入</x:v>
      </x:c>
      <x:c r="B4" s="56" t="n">
        <x:f>'月次CF'!N10</x:f>
        <x:v>11155000</x:v>
      </x:c>
      <x:c r="C4" t="str">
        <x:v>円</x:v>
      </x:c>
      <x:c r="D4" t="str">
        <x:v>給与・賞与・手当等</x:v>
      </x:c>
    </x:row>
    <x:row r="5">
      <x:c r="A5" t="str">
        <x:v>年間生活支出</x:v>
      </x:c>
      <x:c r="B5" s="56" t="n">
        <x:f>'月次CF'!N27</x:f>
        <x:v>7053000</x:v>
      </x:c>
      <x:c r="C5" t="str">
        <x:v>円</x:v>
      </x:c>
      <x:c r="D5" t="str">
        <x:v>投資・積立を除く</x:v>
      </x:c>
    </x:row>
    <x:row r="6">
      <x:c r="A6" t="str">
        <x:v>年間投資・積立</x:v>
      </x:c>
      <x:c r="B6" s="56" t="n">
        <x:f>'月次CF'!N32</x:f>
        <x:v>1770000</x:v>
      </x:c>
      <x:c r="C6" t="str">
        <x:v>円</x:v>
      </x:c>
      <x:c r="D6" t="str">
        <x:v>NISA・教育・特別積立</x:v>
      </x:c>
    </x:row>
    <x:row r="7">
      <x:c r="A7" t="str">
        <x:v>年間キャッシュ増減</x:v>
      </x:c>
      <x:c r="B7" s="56" t="n">
        <x:f>'月次CF'!N34</x:f>
        <x:v>2332000</x:v>
      </x:c>
      <x:c r="C7" t="str">
        <x:v>円</x:v>
      </x:c>
      <x:c r="D7" t="str">
        <x:v>総収入-支出-積立</x:v>
      </x:c>
    </x:row>
    <x:row r="8">
      <x:c r="A8" t="str">
        <x:v>貯蓄率</x:v>
      </x:c>
      <x:c r="B8" s="57" t="n">
        <x:f>B6/B4</x:f>
        <x:v>0.15867324069923802</x:v>
      </x:c>
      <x:c r="C8" t="str">
        <x:v>%</x:v>
      </x:c>
      <x:c r="D8" t="str">
        <x:v>投資・積立÷総収入</x:v>
      </x:c>
    </x:row>
    <x:row r="9">
      <x:c r="A9" t="str">
        <x:v>生活費率</x:v>
      </x:c>
      <x:c r="B9" s="57" t="n">
        <x:f>B5/B4</x:f>
        <x:v>0.6322725235320484</x:v>
      </x:c>
      <x:c r="C9" t="str">
        <x:v>%</x:v>
      </x:c>
      <x:c r="D9" t="str">
        <x:v>生活支出÷総収入</x:v>
      </x:c>
    </x:row>
    <x:row r="10">
      <x:c r="A10" t="str">
        <x:v>年末投資資産</x:v>
      </x:c>
      <x:c r="B10" s="56" t="n">
        <x:f>'資産負債'!C8</x:f>
        <x:v>9900000</x:v>
      </x:c>
      <x:c r="C10" t="str">
        <x:v>円</x:v>
      </x:c>
      <x:c r="D10" t="str">
        <x:v>資産負債シートの期末値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80493b4ef18f4f32"/>
</x:worksheet>
</file>